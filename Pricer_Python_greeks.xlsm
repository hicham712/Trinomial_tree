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icham\Desktop\Fruchqrd\"/>
    </mc:Choice>
  </mc:AlternateContent>
  <xr:revisionPtr revIDLastSave="0" documentId="13_ncr:1_{0E4295A9-36BC-4321-891D-CABB4554B293}" xr6:coauthVersionLast="47" xr6:coauthVersionMax="47" xr10:uidLastSave="{00000000-0000-0000-0000-000000000000}"/>
  <bookViews>
    <workbookView xWindow="-120" yWindow="480" windowWidth="24240" windowHeight="13140" tabRatio="500" xr2:uid="{00000000-000D-0000-FFFF-FFFF00000000}"/>
  </bookViews>
  <sheets>
    <sheet name="Pricer" sheetId="1" r:id="rId1"/>
    <sheet name="Greeks comparison" sheetId="5" r:id="rId2"/>
    <sheet name="Results Tree-BS" sheetId="4" r:id="rId3"/>
    <sheet name="Arbre" sheetId="3" r:id="rId4"/>
    <sheet name="_xlwings.conf" sheetId="2" state="hidden" r:id="rId5"/>
  </sheets>
  <functionGroups builtInGroupCount="19">
    <functionGroup name="Refinitiv Add-in"/>
  </functionGroups>
  <definedNames>
    <definedName name="Divamount">Pricer!$G$7</definedName>
    <definedName name="divDate">Pricer!$G$8</definedName>
    <definedName name="EU_US">Pricer!$G$11</definedName>
    <definedName name="Gap_VBA">Pricer!$K$21</definedName>
    <definedName name="IntRate">Pricer!$G$5</definedName>
    <definedName name="Mat">Pricer!$G$9</definedName>
    <definedName name="OptPrice">Pricer!$G$21</definedName>
    <definedName name="OptType">Pricer!$G$10</definedName>
    <definedName name="Pr_date">Pricer!$G$3</definedName>
    <definedName name="St">Pricer!$G$4</definedName>
    <definedName name="Steps">Pricer!$G$13</definedName>
    <definedName name="Strike">Pricer!$G$12</definedName>
    <definedName name="Time_VBA">Pricer!$G$22</definedName>
    <definedName name="Vol">Pricer!$G$6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0" i="1" l="1"/>
  <c r="O13" i="1" a="1"/>
  <c r="O13" i="1"/>
  <c r="P13" i="1" a="1"/>
  <c r="P13" i="1"/>
  <c r="Q14" i="1" a="1"/>
  <c r="Q14" i="1"/>
  <c r="R14" i="1"/>
  <c r="O14" i="1"/>
  <c r="P14" i="1"/>
  <c r="R13" i="1"/>
  <c r="R16" i="1"/>
  <c r="R18" i="1"/>
  <c r="O2" i="1"/>
  <c r="O4" i="1"/>
  <c r="O3" i="1"/>
  <c r="O5" i="1"/>
  <c r="O6" i="1"/>
  <c r="K22" i="1"/>
  <c r="R15" i="1"/>
  <c r="R17" i="1"/>
  <c r="K21" i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" i="4"/>
  <c r="G20" i="1"/>
  <c r="G17" i="1"/>
  <c r="K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<sst xmlns="http://schemas.openxmlformats.org/spreadsheetml/2006/main" count="102" uniqueCount="77">
  <si>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</si>
  <si>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</si>
  <si>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</si>
  <si>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</si>
  <si>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</si>
  <si>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</si>
  <si>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</si>
  <si>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</si>
  <si>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</si>
  <si>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</si>
  <si>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</si>
  <si>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</si>
  <si>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</si>
  <si>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</si>
  <si>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</si>
  <si>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Option Pricer</t>
  </si>
  <si>
    <t xml:space="preserve">Start date </t>
  </si>
  <si>
    <t>Start price</t>
  </si>
  <si>
    <t>Market</t>
  </si>
  <si>
    <t>Interest rate</t>
  </si>
  <si>
    <t>Volatility</t>
  </si>
  <si>
    <t>I</t>
  </si>
  <si>
    <t>Dividend</t>
  </si>
  <si>
    <t>N</t>
  </si>
  <si>
    <t>Div ex date</t>
  </si>
  <si>
    <t>P</t>
  </si>
  <si>
    <t>Maturity</t>
  </si>
  <si>
    <t>U</t>
  </si>
  <si>
    <t>Type</t>
  </si>
  <si>
    <t>T</t>
  </si>
  <si>
    <t>Trade</t>
  </si>
  <si>
    <t>Exercice</t>
  </si>
  <si>
    <t>Strike</t>
  </si>
  <si>
    <t>Model</t>
  </si>
  <si>
    <t>Nb steps</t>
  </si>
  <si>
    <t>Print Tree</t>
  </si>
  <si>
    <t>O</t>
  </si>
  <si>
    <t>Python Price</t>
  </si>
  <si>
    <t>Price</t>
  </si>
  <si>
    <t>Run time Tree (s)</t>
  </si>
  <si>
    <t>Run time Pricing (s)</t>
  </si>
  <si>
    <t>Run time Total (s)</t>
  </si>
  <si>
    <t>EU</t>
  </si>
  <si>
    <t>VBA Price</t>
  </si>
  <si>
    <t>VBA Time</t>
  </si>
  <si>
    <t>Add-ons</t>
  </si>
  <si>
    <t>Error Upper Bound</t>
  </si>
  <si>
    <t>Error (Python)</t>
  </si>
  <si>
    <t>Error B&amp;S VBA</t>
  </si>
  <si>
    <t>No</t>
  </si>
  <si>
    <t>Nb Steps approx</t>
  </si>
  <si>
    <t>Black and Scholes</t>
  </si>
  <si>
    <t>BS Price (Python)</t>
  </si>
  <si>
    <t>d_1</t>
  </si>
  <si>
    <t>d_2</t>
  </si>
  <si>
    <t>Put</t>
  </si>
  <si>
    <t>N(d_1)</t>
  </si>
  <si>
    <t>N(d_2)</t>
  </si>
  <si>
    <t>Nbsteps</t>
  </si>
  <si>
    <t>Tree Price</t>
  </si>
  <si>
    <t>Time elapsed VBA (s)</t>
  </si>
  <si>
    <t>(Tree-BS)*Steps</t>
  </si>
  <si>
    <t>Black Scholes price</t>
  </si>
  <si>
    <t>Greeks</t>
  </si>
  <si>
    <t>Delta</t>
  </si>
  <si>
    <t>Gamma</t>
  </si>
  <si>
    <t>Delta B&amp;S</t>
  </si>
  <si>
    <t>Gamma B&amp;S</t>
  </si>
  <si>
    <t>Gap Delta</t>
  </si>
  <si>
    <t>Gap Gamma</t>
  </si>
  <si>
    <t>Call</t>
  </si>
  <si>
    <t>Opt(S(0)+h)</t>
  </si>
  <si>
    <t>Opt(S(0)-h)</t>
  </si>
  <si>
    <t>Value</t>
  </si>
  <si>
    <t>Opt(S(0))</t>
  </si>
  <si>
    <t>Error B&amp;S VBA (%)</t>
  </si>
  <si>
    <t>Strike (with Stock price =100)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</si>
</sst>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%"/>
    <numFmt numFmtId="167" formatCode="0.0000%"/>
    <numFmt numFmtId="168" formatCode="0.00000%"/>
    <numFmt numFmtId="170" formatCode="0.000000"/>
  </numFmts>
  <fonts count="1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0" fontId="2" fillId="0" borderId="1" applyNumberFormat="0" applyFill="0" applyAlignment="0" applyProtection="0"/>
    <xf numFmtId="9" fontId="15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5" fillId="0" borderId="5" xfId="0" applyFont="1" applyBorder="1"/>
    <xf numFmtId="0" fontId="0" fillId="0" borderId="7" xfId="0" applyBorder="1"/>
    <xf numFmtId="0" fontId="7" fillId="0" borderId="5" xfId="0" applyFont="1" applyBorder="1"/>
    <xf numFmtId="0" fontId="8" fillId="0" borderId="3" xfId="0" applyFont="1" applyBorder="1"/>
    <xf numFmtId="0" fontId="0" fillId="0" borderId="8" xfId="0" applyBorder="1"/>
    <xf numFmtId="0" fontId="8" fillId="0" borderId="5" xfId="0" applyFont="1" applyBorder="1"/>
    <xf numFmtId="0" fontId="3" fillId="2" borderId="0" xfId="0" applyFont="1" applyFill="1" applyAlignment="1">
      <alignment horizontal="center"/>
    </xf>
    <xf numFmtId="0" fontId="11" fillId="0" borderId="5" xfId="0" applyFont="1" applyBorder="1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14" fontId="0" fillId="0" borderId="4" xfId="0" applyNumberFormat="1" applyBorder="1"/>
    <xf numFmtId="0" fontId="3" fillId="2" borderId="6" xfId="0" applyFont="1" applyFill="1" applyBorder="1" applyAlignment="1">
      <alignment horizontal="center"/>
    </xf>
    <xf numFmtId="0" fontId="0" fillId="0" borderId="9" xfId="0" applyBorder="1"/>
    <xf numFmtId="0" fontId="12" fillId="0" borderId="0" xfId="0" applyFont="1"/>
    <xf numFmtId="0" fontId="0" fillId="0" borderId="11" xfId="0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9" fillId="0" borderId="9" xfId="0" applyFont="1" applyBorder="1"/>
    <xf numFmtId="0" fontId="9" fillId="0" borderId="10" xfId="0" applyFont="1" applyBorder="1"/>
    <xf numFmtId="0" fontId="10" fillId="0" borderId="9" xfId="0" applyFont="1" applyBorder="1"/>
    <xf numFmtId="0" fontId="10" fillId="0" borderId="10" xfId="0" applyFont="1" applyBorder="1"/>
    <xf numFmtId="9" fontId="0" fillId="0" borderId="4" xfId="0" applyNumberFormat="1" applyBorder="1"/>
    <xf numFmtId="164" fontId="0" fillId="0" borderId="4" xfId="0" applyNumberFormat="1" applyBorder="1"/>
    <xf numFmtId="164" fontId="0" fillId="0" borderId="9" xfId="0" applyNumberFormat="1" applyBorder="1"/>
    <xf numFmtId="164" fontId="12" fillId="0" borderId="4" xfId="0" applyNumberFormat="1" applyFont="1" applyBorder="1"/>
    <xf numFmtId="0" fontId="0" fillId="0" borderId="12" xfId="0" applyBorder="1"/>
    <xf numFmtId="164" fontId="0" fillId="0" borderId="13" xfId="0" applyNumberFormat="1" applyBorder="1"/>
    <xf numFmtId="0" fontId="0" fillId="0" borderId="14" xfId="0" applyBorder="1"/>
    <xf numFmtId="0" fontId="0" fillId="0" borderId="15" xfId="0" applyBorder="1"/>
    <xf numFmtId="0" fontId="1" fillId="5" borderId="16" xfId="0" applyFont="1" applyFill="1" applyBorder="1" applyAlignment="1">
      <alignment horizontal="center" vertical="center"/>
    </xf>
    <xf numFmtId="0" fontId="14" fillId="0" borderId="0" xfId="0" applyFont="1"/>
    <xf numFmtId="0" fontId="13" fillId="6" borderId="4" xfId="0" applyFont="1" applyFill="1" applyBorder="1"/>
    <xf numFmtId="0" fontId="13" fillId="4" borderId="4" xfId="0" applyFont="1" applyFill="1" applyBorder="1"/>
    <xf numFmtId="164" fontId="13" fillId="4" borderId="4" xfId="0" applyNumberFormat="1" applyFont="1" applyFill="1" applyBorder="1"/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/>
    </xf>
    <xf numFmtId="0" fontId="6" fillId="0" borderId="4" xfId="0" applyFont="1" applyBorder="1"/>
    <xf numFmtId="165" fontId="0" fillId="0" borderId="11" xfId="0" applyNumberFormat="1" applyBorder="1" applyAlignment="1">
      <alignment horizontal="center"/>
    </xf>
    <xf numFmtId="165" fontId="0" fillId="0" borderId="0" xfId="0" applyNumberFormat="1"/>
    <xf numFmtId="0" fontId="1" fillId="0" borderId="4" xfId="0" applyFont="1" applyBorder="1" applyAlignment="1">
      <alignment horizontal="center" vertical="center"/>
    </xf>
    <xf numFmtId="0" fontId="16" fillId="7" borderId="4" xfId="0" applyFont="1" applyFill="1" applyBorder="1" applyAlignment="1">
      <alignment horizontal="center"/>
    </xf>
    <xf numFmtId="9" fontId="0" fillId="0" borderId="4" xfId="2" applyFont="1" applyBorder="1"/>
    <xf numFmtId="0" fontId="11" fillId="7" borderId="10" xfId="0" applyFont="1" applyFill="1" applyBorder="1"/>
    <xf numFmtId="0" fontId="0" fillId="8" borderId="0" xfId="0" applyFill="1"/>
    <xf numFmtId="0" fontId="0" fillId="8" borderId="4" xfId="0" applyFill="1" applyBorder="1"/>
    <xf numFmtId="168" fontId="0" fillId="0" borderId="18" xfId="2" applyNumberFormat="1" applyFont="1" applyBorder="1"/>
    <xf numFmtId="167" fontId="0" fillId="0" borderId="4" xfId="2" applyNumberFormat="1" applyFont="1" applyBorder="1" applyAlignment="1">
      <alignment horizontal="center"/>
    </xf>
    <xf numFmtId="166" fontId="0" fillId="0" borderId="4" xfId="2" applyNumberFormat="1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0" fontId="0" fillId="0" borderId="4" xfId="2" applyNumberFormat="1" applyFont="1" applyBorder="1" applyAlignment="1">
      <alignment horizontal="center"/>
    </xf>
    <xf numFmtId="0" fontId="1" fillId="9" borderId="0" xfId="0" applyFont="1" applyFill="1" applyAlignment="1">
      <alignment horizontal="center"/>
    </xf>
    <xf numFmtId="10" fontId="0" fillId="0" borderId="4" xfId="2" applyNumberFormat="1" applyFont="1" applyBorder="1" applyAlignment="1">
      <alignment horizontal="center" vertical="center"/>
    </xf>
    <xf numFmtId="0" fontId="0" fillId="0" borderId="19" xfId="0" applyBorder="1"/>
    <xf numFmtId="166" fontId="0" fillId="0" borderId="4" xfId="2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7" fontId="0" fillId="0" borderId="0" xfId="0" applyNumberFormat="1"/>
    <xf numFmtId="170" fontId="0" fillId="0" borderId="17" xfId="0" applyNumberFormat="1" applyBorder="1"/>
  </cellXfs>
  <cellStyles count="3">
    <cellStyle name="Normal" xfId="0" builtinId="0"/>
    <cellStyle name="Pourcentage" xfId="2" builtinId="5"/>
    <cellStyle name="Titre 1" xfId="1" builtinId="1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Delta</a:t>
            </a:r>
            <a:r>
              <a:rPr lang="en-US" b="1" baseline="0"/>
              <a:t> Trinomial VS B&amp;S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comparison'!$B$1</c:f>
              <c:strCache>
                <c:ptCount val="1"/>
                <c:pt idx="0">
                  <c:v>Delta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comparison'!$B$2:$B$12</c:f>
              <c:numCache>
                <c:formatCode>0.00%</c:formatCode>
                <c:ptCount val="11"/>
                <c:pt idx="0">
                  <c:v>0.99990697960592456</c:v>
                </c:pt>
                <c:pt idx="1">
                  <c:v>0.99702920126460981</c:v>
                </c:pt>
                <c:pt idx="2">
                  <c:v>0.97785008009694252</c:v>
                </c:pt>
                <c:pt idx="3">
                  <c:v>0.91845511126358303</c:v>
                </c:pt>
                <c:pt idx="4">
                  <c:v>0.78178687472227892</c:v>
                </c:pt>
                <c:pt idx="5">
                  <c:v>0.61218607375597145</c:v>
                </c:pt>
                <c:pt idx="6">
                  <c:v>0.41753565670514803</c:v>
                </c:pt>
                <c:pt idx="7">
                  <c:v>0.24152039676970105</c:v>
                </c:pt>
                <c:pt idx="8">
                  <c:v>0.14201125532974368</c:v>
                </c:pt>
                <c:pt idx="9">
                  <c:v>7.4760621008951311E-2</c:v>
                </c:pt>
                <c:pt idx="10">
                  <c:v>3.5061767069494154E-2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13-43F7-BE51-326247C9B98C}"/>
            </c:ext>
          </c:extLst>
        </c:ser>
        <c:ser>
          <c:idx val="1"/>
          <c:order val="1"/>
          <c:tx>
            <c:strRef>
              <c:f>'Greeks comparison'!$D$1</c:f>
              <c:strCache>
                <c:ptCount val="1"/>
                <c:pt idx="0">
                  <c:v>Delta B&amp;S</c:v>
                </c:pt>
              </c:strCache>
            </c:strRef>
          </c:tx>
          <c:spPr>
            <a:ln w="9525" cap="flat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'Greeks comparison'!$D$2:$D$12</c:f>
              <c:numCache>
                <c:formatCode>0.00%</c:formatCode>
                <c:ptCount val="11"/>
                <c:pt idx="0">
                  <c:v>0.99989869343617666</c:v>
                </c:pt>
                <c:pt idx="1">
                  <c:v>0.99747735738166277</c:v>
                </c:pt>
                <c:pt idx="2">
                  <c:v>0.97899266029187648</c:v>
                </c:pt>
                <c:pt idx="3">
                  <c:v>0.91398621558148618</c:v>
                </c:pt>
                <c:pt idx="4">
                  <c:v>0.78136237230933636</c:v>
                </c:pt>
                <c:pt idx="5">
                  <c:v>0.5987063256829237</c:v>
                </c:pt>
                <c:pt idx="6">
                  <c:v>0.41038648819969364</c:v>
                </c:pt>
                <c:pt idx="7">
                  <c:v>0.2541113088260587</c:v>
                </c:pt>
                <c:pt idx="8">
                  <c:v>0.14415840403251975</c:v>
                </c:pt>
                <c:pt idx="9">
                  <c:v>7.6020240733246897E-2</c:v>
                </c:pt>
                <c:pt idx="10">
                  <c:v>3.775734689392523E-2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13-43F7-BE51-326247C9B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481472"/>
        <c:axId val="974482128"/>
      </c:lineChart>
      <c:catAx>
        <c:axId val="9744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2128"/>
        <c:crosses val="autoZero"/>
        <c:auto val="1"/>
        <c:lblAlgn val="ctr"/>
        <c:lblOffset val="100"/>
        <c:noMultiLvlLbl val="0"/>
      </c:catAx>
      <c:valAx>
        <c:axId val="9744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Delta</a:t>
            </a:r>
            <a:r>
              <a:rPr lang="en-US" b="1" baseline="0"/>
              <a:t> Trinomial VS B&amp;S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'Greeks comparison'!$C$1</c:f>
              <c:strCache>
                <c:ptCount val="1"/>
                <c:pt idx="0">
                  <c:v>Gamma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comparison'!$C$2:$C$12</c:f>
              <c:numCache>
                <c:formatCode>0.00%</c:formatCode>
                <c:ptCount val="11"/>
                <c:pt idx="0">
                  <c:v>-1.4210854715202004E-9</c:v>
                </c:pt>
                <c:pt idx="1">
                  <c:v>-1.1368683772161603E-9</c:v>
                </c:pt>
                <c:pt idx="2">
                  <c:v>-7.1054273576010019E-10</c:v>
                </c:pt>
                <c:pt idx="3">
                  <c:v>-2.8421709430404007E-10</c:v>
                </c:pt>
                <c:pt idx="4">
                  <c:v>9.5923269327613525E-10</c:v>
                </c:pt>
                <c:pt idx="5">
                  <c:v>1.3145040611561853E-9</c:v>
                </c:pt>
                <c:pt idx="6">
                  <c:v>1.6875389974302379E-9</c:v>
                </c:pt>
                <c:pt idx="7">
                  <c:v>-1.5987211554602254E-10</c:v>
                </c:pt>
                <c:pt idx="8">
                  <c:v>1.7763568394002505E-11</c:v>
                </c:pt>
                <c:pt idx="9">
                  <c:v>1.9761969838327786E-10</c:v>
                </c:pt>
                <c:pt idx="10">
                  <c:v>3.6637359812630166E-11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DF-4EC3-AF4C-5B610FE6A992}"/>
            </c:ext>
          </c:extLst>
        </c:ser>
        <c:ser>
          <c:idx val="1"/>
          <c:order val="1"/>
          <c:tx>
            <c:strRef>
              <c:f>'Greeks comparison'!$E$1</c:f>
              <c:strCache>
                <c:ptCount val="1"/>
                <c:pt idx="0">
                  <c:v>Gamma B&amp;S</c:v>
                </c:pt>
              </c:strCache>
            </c:strRef>
          </c:tx>
          <c:spPr>
            <a:ln w="9525" cap="flat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comparison'!$E$2:$E$12</c:f>
              <c:numCache>
                <c:formatCode>0.000%</c:formatCode>
                <c:ptCount val="11"/>
                <c:pt idx="0">
                  <c:v>2.0035247582841205E-5</c:v>
                </c:pt>
                <c:pt idx="1">
                  <c:v>3.9122095309171206E-4</c:v>
                </c:pt>
                <c:pt idx="2">
                  <c:v>2.5238312817917499E-3</c:v>
                </c:pt>
                <c:pt idx="3">
                  <c:v>7.8498307960346448E-3</c:v>
                </c:pt>
                <c:pt idx="4">
                  <c:v>1.4751921557789722E-2</c:v>
                </c:pt>
                <c:pt idx="5">
                  <c:v>1.933340584014246E-2</c:v>
                </c:pt>
                <c:pt idx="6">
                  <c:v>1.9441730592144799E-2</c:v>
                </c:pt>
                <c:pt idx="7">
                  <c:v>1.6026154474763889E-2</c:v>
                </c:pt>
                <c:pt idx="8">
                  <c:v>1.1351526314540871E-2</c:v>
                </c:pt>
                <c:pt idx="9">
                  <c:v>7.1510213509349873E-3</c:v>
                </c:pt>
                <c:pt idx="10">
                  <c:v>4.110897743346659E-3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DF-4EC3-AF4C-5B610FE6A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481472"/>
        <c:axId val="974482128"/>
      </c:lineChart>
      <c:catAx>
        <c:axId val="97448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2128"/>
        <c:crosses val="autoZero"/>
        <c:auto val="1"/>
        <c:lblAlgn val="ctr"/>
        <c:lblOffset val="100"/>
        <c:noMultiLvlLbl val="0"/>
      </c:catAx>
      <c:valAx>
        <c:axId val="9744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448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Gaps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'Greeks comparison'!$F$1</c:f>
              <c:strCache>
                <c:ptCount val="1"/>
                <c:pt idx="0">
                  <c:v>Gap 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comparison'!$F$2:$F$12</c:f>
              <c:numCache>
                <c:formatCode>0.0000%</c:formatCode>
                <c:ptCount val="11"/>
                <c:pt idx="0">
                  <c:v>8.2861697479064134E-6</c:v>
                </c:pt>
                <c:pt idx="1">
                  <c:v>-4.4815611705295577E-4</c:v>
                </c:pt>
                <c:pt idx="2">
                  <c:v>-1.142580194933962E-3</c:v>
                </c:pt>
                <c:pt idx="3">
                  <c:v>4.4688956820968517E-3</c:v>
                </c:pt>
                <c:pt idx="4">
                  <c:v>4.245024129425623E-4</c:v>
                </c:pt>
                <c:pt idx="5">
                  <c:v>1.3479748073047748E-2</c:v>
                </c:pt>
                <c:pt idx="6">
                  <c:v>7.1491685054543841E-3</c:v>
                </c:pt>
                <c:pt idx="7">
                  <c:v>-1.259091205635765E-2</c:v>
                </c:pt>
                <c:pt idx="8">
                  <c:v>-2.1471487027760749E-3</c:v>
                </c:pt>
                <c:pt idx="9">
                  <c:v>-1.2596197242955853E-3</c:v>
                </c:pt>
                <c:pt idx="10">
                  <c:v>-2.6955798244310755E-3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6C-4073-A40B-50D9E56779F5}"/>
            </c:ext>
          </c:extLst>
        </c:ser>
        <c:ser>
          <c:idx val="1"/>
          <c:order val="1"/>
          <c:tx>
            <c:strRef>
              <c:f>'Greeks comparison'!$G$1</c:f>
              <c:strCache>
                <c:ptCount val="1"/>
                <c:pt idx="0">
                  <c:v>Gap Gamma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'Greeks comparison'!$A$2:$A$12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'Greeks comparison'!$G$2:$G$12</c:f>
              <c:numCache>
                <c:formatCode>0.0000%</c:formatCode>
                <c:ptCount val="11"/>
                <c:pt idx="0">
                  <c:v>2.0036668668312726E-5</c:v>
                </c:pt>
                <c:pt idx="1">
                  <c:v>3.9122208996008928E-4</c:v>
                </c:pt>
                <c:pt idx="2">
                  <c:v>2.5238319923344857E-3</c:v>
                </c:pt>
                <c:pt idx="3">
                  <c:v>7.8498310802517391E-3</c:v>
                </c:pt>
                <c:pt idx="4">
                  <c:v>1.4751920598557029E-2</c:v>
                </c:pt>
                <c:pt idx="5">
                  <c:v>1.9333404525638399E-2</c:v>
                </c:pt>
                <c:pt idx="6">
                  <c:v>1.9441728904605802E-2</c:v>
                </c:pt>
                <c:pt idx="7">
                  <c:v>1.6026154634636004E-2</c:v>
                </c:pt>
                <c:pt idx="8">
                  <c:v>1.1351526296777303E-2</c:v>
                </c:pt>
                <c:pt idx="9">
                  <c:v>7.1510211533152889E-3</c:v>
                </c:pt>
                <c:pt idx="10">
                  <c:v>4.1108977067092992E-3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6C-4073-A40B-50D9E5677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924232"/>
        <c:axId val="786925544"/>
      </c:lineChart>
      <c:catAx>
        <c:axId val="786924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6925544"/>
        <c:crosses val="autoZero"/>
        <c:auto val="1"/>
        <c:lblAlgn val="ctr"/>
        <c:lblOffset val="100"/>
        <c:noMultiLvlLbl val="0"/>
      </c:catAx>
      <c:valAx>
        <c:axId val="78692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6924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(Tree-BS)*Steps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'Results Tree-BS'!$A$2:$A$22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2000</c:v>
                </c:pt>
              </c:numCache>
            </c:numRef>
          </c:xVal>
          <c:yVal>
            <c:numRef>
              <c:f>'Results Tree-BS'!$D$2:$D$22</c:f>
              <c:numCache>
                <c:formatCode>0.000</c:formatCode>
                <c:ptCount val="21"/>
                <c:pt idx="0">
                  <c:v>0.66288184337556011</c:v>
                </c:pt>
                <c:pt idx="1">
                  <c:v>-0.14407982277684361</c:v>
                </c:pt>
                <c:pt idx="2">
                  <c:v>-0.51971780877613227</c:v>
                </c:pt>
                <c:pt idx="3">
                  <c:v>0.84547594226367373</c:v>
                </c:pt>
                <c:pt idx="4">
                  <c:v>0.77717732881374957</c:v>
                </c:pt>
                <c:pt idx="5">
                  <c:v>-1.8515445637378392</c:v>
                </c:pt>
                <c:pt idx="6">
                  <c:v>0.49629907445698507</c:v>
                </c:pt>
                <c:pt idx="7">
                  <c:v>0.89000343830303308</c:v>
                </c:pt>
                <c:pt idx="8">
                  <c:v>-0.23695572551840627</c:v>
                </c:pt>
                <c:pt idx="9">
                  <c:v>-1.392873162195496</c:v>
                </c:pt>
                <c:pt idx="10">
                  <c:v>0.28616103910081847</c:v>
                </c:pt>
                <c:pt idx="11">
                  <c:v>0.93242960692974108</c:v>
                </c:pt>
                <c:pt idx="12">
                  <c:v>0.71041226697854398</c:v>
                </c:pt>
                <c:pt idx="13">
                  <c:v>-0.25465500648245154</c:v>
                </c:pt>
                <c:pt idx="14">
                  <c:v>-1.8648666620727283</c:v>
                </c:pt>
                <c:pt idx="15">
                  <c:v>-0.39045357944686998</c:v>
                </c:pt>
                <c:pt idx="16">
                  <c:v>0.56091406532665644</c:v>
                </c:pt>
                <c:pt idx="17">
                  <c:v>0.94073811912398497</c:v>
                </c:pt>
                <c:pt idx="18">
                  <c:v>0.80403995402491546</c:v>
                </c:pt>
                <c:pt idx="19">
                  <c:v>0.19760381359619217</c:v>
                </c:pt>
                <c:pt idx="20">
                  <c:v>-0.37357253644465516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EE-44E0-9150-2DB0A52C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86808"/>
        <c:axId val="525988448"/>
      </c:scatterChart>
      <c:valAx>
        <c:axId val="52598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5988448"/>
        <c:crosses val="autoZero"/>
        <c:crossBetween val="midCat"/>
      </c:valAx>
      <c:valAx>
        <c:axId val="52598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598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Ordre de l'algorithme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0.19241710411198601"/>
                  <c:y val="-1.89351851851852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'Results Tree-BS'!$A$2:$A$22</c:f>
              <c:numCache>
                <c:formatCode>General</c:formatCode>
                <c:ptCount val="21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2000</c:v>
                </c:pt>
              </c:numCache>
            </c:numRef>
          </c:xVal>
          <c:yVal>
            <c:numRef>
              <c:f>'Results Tree-BS'!$C$2:$C$22</c:f>
              <c:numCache>
                <c:formatCode>0.000</c:formatCode>
                <c:ptCount val="21"/>
                <c:pt idx="0">
                  <c:v>1E-3</c:v>
                </c:pt>
                <c:pt idx="1">
                  <c:v>3.90625E-2</c:v>
                </c:pt>
                <c:pt idx="2">
                  <c:v>0.1328125</c:v>
                </c:pt>
                <c:pt idx="3">
                  <c:v>0.282989501953125</c:v>
                </c:pt>
                <c:pt idx="4">
                  <c:v>0.510009765625</c:v>
                </c:pt>
                <c:pt idx="5">
                  <c:v>1.1090087890625</c:v>
                </c:pt>
                <c:pt idx="6">
                  <c:v>1.72003173828125</c:v>
                </c:pt>
                <c:pt idx="7">
                  <c:v>2.6800537109375</c:v>
                </c:pt>
                <c:pt idx="8">
                  <c:v>3.8399658203125</c:v>
                </c:pt>
                <c:pt idx="9">
                  <c:v>5.3399658203125</c:v>
                </c:pt>
                <c:pt idx="10">
                  <c:v>6.989990234375</c:v>
                </c:pt>
                <c:pt idx="11">
                  <c:v>9.1300048828125</c:v>
                </c:pt>
                <c:pt idx="12">
                  <c:v>11.0599365234375</c:v>
                </c:pt>
                <c:pt idx="13">
                  <c:v>13.4599609375</c:v>
                </c:pt>
                <c:pt idx="14">
                  <c:v>16.050048828125</c:v>
                </c:pt>
                <c:pt idx="15">
                  <c:v>18.2030029296875</c:v>
                </c:pt>
                <c:pt idx="16">
                  <c:v>22.333984375</c:v>
                </c:pt>
                <c:pt idx="17">
                  <c:v>24.6640625</c:v>
                </c:pt>
                <c:pt idx="18">
                  <c:v>28.247802734375</c:v>
                </c:pt>
                <c:pt idx="19">
                  <c:v>31.632080078125</c:v>
                </c:pt>
                <c:pt idx="20">
                  <c:v>44.22998046875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35-4F37-A43D-19A332A12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844495"/>
        <c:axId val="1226848431"/>
      </c:scatterChart>
      <c:valAx>
        <c:axId val="122684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6848431"/>
        <c:crosses val="autoZero"/>
        <c:crossBetween val="midCat"/>
      </c:valAx>
      <c:valAx>
        <c:axId val="122684843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6844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238125</xdr:colOff>
      <xdr:row>7</xdr:row>
      <xdr:rowOff>38100</xdr:rowOff>
    </xdr:from>
    <xdr:to>
      <xdr:col>16</xdr:col>
      <xdr:colOff>752475</xdr:colOff>
      <xdr:row>10</xdr:row>
      <xdr:rowOff>38100</xdr:rowOff>
    </xdr:to>
    <xdr:sp macro="[0]!recalculate_greeks" textlink="">
      <xdr:nvSpPr>
        <xdr:cNvPr id="2" name="Rectangle 1">
          <a:extLst>
            <a:ext uri="{FF2B5EF4-FFF2-40B4-BE49-F238E27FC236}">
              <a16:creationId xmlns:a16="http://schemas.microsoft.com/office/drawing/2014/main" id="{A6FB0795-5EED-D5EE-C2B0-E0440D6BA872}"/>
            </a:ext>
          </a:extLst>
        </xdr:cNvPr>
        <xdr:cNvSpPr/>
      </xdr:nvSpPr>
      <xdr:spPr>
        <a:xfrm>
          <a:off x="11439525" y="1485900"/>
          <a:ext cx="1419225" cy="60007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400" b="1"/>
            <a:t>RECALCULATE GREEKS</a:t>
          </a:r>
        </a:p>
      </xdr:txBody>
    </xdr:sp>
    <xdr:clientData/>
  </xdr:twoCellAnchor>
  <xdr:twoCellAnchor>
    <xdr:from>
      <xdr:col>7</xdr:col>
      <xdr:colOff>371475</xdr:colOff>
      <xdr:row>10</xdr:row>
      <xdr:rowOff>0</xdr:rowOff>
    </xdr:from>
    <xdr:to>
      <xdr:col>9</xdr:col>
      <xdr:colOff>504825</xdr:colOff>
      <xdr:row>12</xdr:row>
      <xdr:rowOff>161925</xdr:rowOff>
    </xdr:to>
    <xdr:sp macro="[0]!Price_opt" textlink="">
      <xdr:nvSpPr>
        <xdr:cNvPr id="3" name="Rectangle 2">
          <a:extLst>
            <a:ext uri="{FF2B5EF4-FFF2-40B4-BE49-F238E27FC236}">
              <a16:creationId xmlns:a16="http://schemas.microsoft.com/office/drawing/2014/main" id="{EF6BD4F6-DE90-3905-DE01-0584F8002262}"/>
            </a:ext>
          </a:extLst>
        </xdr:cNvPr>
        <xdr:cNvSpPr/>
      </xdr:nvSpPr>
      <xdr:spPr>
        <a:xfrm>
          <a:off x="4962525" y="2047875"/>
          <a:ext cx="1352550" cy="56197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400" b="1"/>
            <a:t>VBA</a:t>
          </a:r>
          <a:r>
            <a:rPr lang="fr-FR" sz="1400" b="1" baseline="0"/>
            <a:t> PRICING BUTTON</a:t>
          </a:r>
          <a:endParaRPr lang="fr-F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776287</xdr:colOff>
      <xdr:row>12</xdr:row>
      <xdr:rowOff>147637</xdr:rowOff>
    </xdr:from>
    <xdr:to>
      <xdr:col>10</xdr:col>
      <xdr:colOff>319087</xdr:colOff>
      <xdr:row>26</xdr:row>
      <xdr:rowOff>90487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88B0B38-9398-3387-A389-D0F68B388C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12</xdr:row>
      <xdr:rowOff>161925</xdr:rowOff>
    </xdr:from>
    <xdr:to>
      <xdr:col>4</xdr:col>
      <xdr:colOff>333375</xdr:colOff>
      <xdr:row>26</xdr:row>
      <xdr:rowOff>104775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AC20C45-9111-4D83-ABA7-C9BD6D0B4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314325</xdr:colOff>
      <xdr:row>0</xdr:row>
      <xdr:rowOff>0</xdr:rowOff>
    </xdr:from>
    <xdr:to>
      <xdr:col>12</xdr:col>
      <xdr:colOff>333375</xdr:colOff>
      <xdr:row>12</xdr:row>
      <xdr:rowOff>57150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4972EFF-1316-7D0A-C744-A38BD7DCB1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290512</xdr:colOff>
      <xdr:row>12</xdr:row>
      <xdr:rowOff>47625</xdr:rowOff>
    </xdr:from>
    <xdr:to>
      <xdr:col>9</xdr:col>
      <xdr:colOff>819150</xdr:colOff>
      <xdr:row>25</xdr:row>
      <xdr:rowOff>114300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0</xdr:row>
      <xdr:rowOff>57150</xdr:rowOff>
    </xdr:from>
    <xdr:to>
      <xdr:col>15</xdr:col>
      <xdr:colOff>485775</xdr:colOff>
      <xdr:row>14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S23"/>
  <sheetViews>
    <sheetView showGridLines="0" tabSelected="1" topLeftCell="A6" workbookViewId="0">
      <selection activeCell="G14" sqref="G14"/>
    </sheetView>
  </sheetViews>
  <sheetFormatPr baseColWidth="10" defaultColWidth="8" defaultRowHeight="15.75" x14ac:dyDescent="0.25"/>
  <cols>
    <col min="4" max="4" width="2.75" customWidth="1"/>
    <col min="6" max="6" width="15.25" customWidth="1"/>
    <col min="7" max="7" width="10.25" customWidth="1"/>
    <col min="10" max="10" width="15.75" bestFit="1" customWidth="1"/>
    <col min="11" max="11" width="11.875" bestFit="1" customWidth="1"/>
    <col min="13" max="13" width="16.125" bestFit="1" customWidth="1"/>
    <col min="14" max="14" width="11" bestFit="1" customWidth="1"/>
    <col min="15" max="16" width="11.875" bestFit="1" customWidth="1"/>
    <col min="17" max="17" width="13.625" customWidth="1"/>
    <col min="18" max="18" width="11.625" customWidth="1"/>
  </cols>
  <sheetData>
    <row r="1" spans="4:19" ht="19.5" x14ac:dyDescent="0.3">
      <c r="F1" s="3" t="s">
        <v>15</v>
      </c>
      <c r="G1" s="3"/>
    </row>
    <row r="2" spans="4:19" x14ac:dyDescent="0.25">
      <c r="F2" s="4"/>
      <c r="G2" s="4"/>
      <c r="N2" s="43" t="s">
        <v>53</v>
      </c>
      <c r="O2" s="44">
        <f>(LN(St/Strike)+(IntRate+(Vol^2)/2)*(Mat-Pr_date)/365)/(Vol*SQRT((Mat-Pr_date)/365))</f>
        <v>0.25</v>
      </c>
    </row>
    <row r="3" spans="4:19" x14ac:dyDescent="0.25">
      <c r="D3" s="16"/>
      <c r="E3" s="5"/>
      <c r="F3" s="24" t="s">
        <v>16</v>
      </c>
      <c r="G3" s="19">
        <v>44440</v>
      </c>
      <c r="N3" s="43" t="s">
        <v>54</v>
      </c>
      <c r="O3" s="44">
        <f>(LN(St/Strike)+(IntRate-(Vol^2)/2)*(Mat-Pr_date)/365)/(Vol*SQRT((Mat-Pr_date)/365))</f>
        <v>4.9999999999999975E-2</v>
      </c>
    </row>
    <row r="4" spans="4:19" x14ac:dyDescent="0.25">
      <c r="D4" s="16"/>
      <c r="E4" s="7"/>
      <c r="F4" s="25" t="s">
        <v>17</v>
      </c>
      <c r="G4" s="6">
        <v>100</v>
      </c>
      <c r="M4" s="42" t="s">
        <v>51</v>
      </c>
      <c r="N4" s="43" t="s">
        <v>56</v>
      </c>
      <c r="O4" s="44">
        <f>IF(OptType="Call",_xlfn.NORM.S.DIST(O2,TRUE),_xlfn.NORM.S.DIST(-O2,TRUE))</f>
        <v>0.5987063256829237</v>
      </c>
    </row>
    <row r="5" spans="4:19" x14ac:dyDescent="0.25">
      <c r="D5" s="16"/>
      <c r="E5" s="8" t="s">
        <v>18</v>
      </c>
      <c r="F5" s="25" t="s">
        <v>19</v>
      </c>
      <c r="G5" s="33">
        <v>0.03</v>
      </c>
      <c r="N5" s="43" t="s">
        <v>57</v>
      </c>
      <c r="O5" s="44">
        <f>IF(OptType="Call",_xlfn.NORM.S.DIST(O3,TRUE),_xlfn.NORM.S.DIST(-O3,TRUE))</f>
        <v>0.51993880583837249</v>
      </c>
    </row>
    <row r="6" spans="4:19" x14ac:dyDescent="0.25">
      <c r="D6" s="16"/>
      <c r="E6" s="7"/>
      <c r="F6" s="25" t="s">
        <v>20</v>
      </c>
      <c r="G6" s="57">
        <v>0.2</v>
      </c>
      <c r="N6" s="43" t="s">
        <v>38</v>
      </c>
      <c r="O6" s="45">
        <f>IF(OptType="Call",St*O4-Strike*EXP(-IntRate*(Mat-Pr_date)/365)*O5,Strike*EXP(-IntRate*(Mat-Pr_date)/365)*O5-St*O4)</f>
        <v>9.4134033838530158</v>
      </c>
    </row>
    <row r="7" spans="4:19" x14ac:dyDescent="0.25">
      <c r="D7" s="17" t="s">
        <v>21</v>
      </c>
      <c r="E7" s="7"/>
      <c r="F7" s="25" t="s">
        <v>22</v>
      </c>
      <c r="G7" s="6">
        <v>1</v>
      </c>
    </row>
    <row r="8" spans="4:19" x14ac:dyDescent="0.25">
      <c r="D8" s="18" t="s">
        <v>23</v>
      </c>
      <c r="E8" s="9"/>
      <c r="F8" s="26" t="s">
        <v>24</v>
      </c>
      <c r="G8" s="19">
        <v>44621</v>
      </c>
    </row>
    <row r="9" spans="4:19" x14ac:dyDescent="0.25">
      <c r="D9" s="18" t="s">
        <v>25</v>
      </c>
      <c r="E9" s="5"/>
      <c r="F9" s="27" t="s">
        <v>26</v>
      </c>
      <c r="G9" s="19">
        <v>44805</v>
      </c>
    </row>
    <row r="10" spans="4:19" x14ac:dyDescent="0.25">
      <c r="D10" s="18" t="s">
        <v>27</v>
      </c>
      <c r="E10" s="7"/>
      <c r="F10" s="28" t="s">
        <v>28</v>
      </c>
      <c r="G10" s="6" t="s">
        <v>70</v>
      </c>
      <c r="S10" s="54"/>
    </row>
    <row r="11" spans="4:19" x14ac:dyDescent="0.25">
      <c r="D11" s="18" t="s">
        <v>29</v>
      </c>
      <c r="E11" s="10" t="s">
        <v>30</v>
      </c>
      <c r="F11" s="28" t="s">
        <v>31</v>
      </c>
      <c r="G11" s="6" t="s">
        <v>42</v>
      </c>
    </row>
    <row r="12" spans="4:19" x14ac:dyDescent="0.25">
      <c r="D12" s="16"/>
      <c r="E12" s="7"/>
      <c r="F12" s="28" t="s">
        <v>32</v>
      </c>
      <c r="G12" s="6">
        <v>100</v>
      </c>
      <c r="N12" s="66" t="s">
        <v>63</v>
      </c>
      <c r="O12" s="55" t="s">
        <v>71</v>
      </c>
      <c r="P12" s="55" t="s">
        <v>72</v>
      </c>
      <c r="Q12" s="55" t="s">
        <v>74</v>
      </c>
      <c r="R12" s="55" t="s">
        <v>73</v>
      </c>
    </row>
    <row r="13" spans="4:19" x14ac:dyDescent="0.25">
      <c r="D13" s="16"/>
      <c r="E13" s="11" t="s">
        <v>33</v>
      </c>
      <c r="F13" s="29" t="s">
        <v>34</v>
      </c>
      <c r="G13" s="12">
        <v>100</v>
      </c>
      <c r="N13" s="56" t="s">
        <v>64</v>
      </c>
      <c r="O13" s="6" cm="1">
        <f t="array" ref="O13">Price_For_Greeks(St+0.01)</f>
        <v>9.4543779699666519</v>
      </c>
      <c r="P13" s="6" cm="1">
        <f t="array" ref="P13">Price_For_Greeks(St-0.01)</f>
        <v>9.4422172378948801</v>
      </c>
      <c r="Q13" s="68"/>
      <c r="R13" s="65">
        <f>(O13-P13)/(2*0.01)</f>
        <v>0.60803660358859091</v>
      </c>
    </row>
    <row r="14" spans="4:19" x14ac:dyDescent="0.25">
      <c r="D14" s="16"/>
      <c r="E14" s="13"/>
      <c r="F14" s="30" t="s">
        <v>35</v>
      </c>
      <c r="G14" s="6" t="s">
        <v>49</v>
      </c>
      <c r="N14" s="56" t="s">
        <v>65</v>
      </c>
      <c r="O14" s="6">
        <f>O13</f>
        <v>9.4543779699666519</v>
      </c>
      <c r="P14" s="6">
        <f>P13</f>
        <v>9.4422172378948801</v>
      </c>
      <c r="Q14" s="6" cm="1">
        <f t="array" ref="Q14">Price_For_Greeks(St)</f>
        <v>9.4482976039307296</v>
      </c>
      <c r="R14" s="65">
        <f>(O13+P13-2*Q14)/(0.01)^2</f>
        <v>7.1054273576010019E-10</v>
      </c>
    </row>
    <row r="15" spans="4:19" x14ac:dyDescent="0.25">
      <c r="D15" s="14" t="s">
        <v>36</v>
      </c>
      <c r="E15" s="5"/>
      <c r="F15" s="31" t="s">
        <v>52</v>
      </c>
      <c r="G15" s="34">
        <v>6.0017724382741235</v>
      </c>
      <c r="N15" s="56" t="s">
        <v>66</v>
      </c>
      <c r="O15" s="59"/>
      <c r="P15" s="60"/>
      <c r="Q15" s="60"/>
      <c r="R15" s="67">
        <f>IF(OptType="Call",_xlfn.NORM.S.DIST(O2,TRUE),_xlfn.NORM.S.DIST(-O2,TRUE))</f>
        <v>0.5987063256829237</v>
      </c>
    </row>
    <row r="16" spans="4:19" x14ac:dyDescent="0.25">
      <c r="D16" s="14" t="s">
        <v>27</v>
      </c>
      <c r="E16" s="7"/>
      <c r="F16" s="58" t="s">
        <v>37</v>
      </c>
      <c r="G16" s="34">
        <v>5.9965752601865479</v>
      </c>
      <c r="N16" s="56" t="s">
        <v>67</v>
      </c>
      <c r="O16" s="60"/>
      <c r="P16" s="60"/>
      <c r="Q16" s="60"/>
      <c r="R16" s="63">
        <f>1/SQRT(2*PI())*EXP(-1/2*((LN(St/Strike)+(IntRate+(Vol^2)/2)*(Mat-Pr_date)/365)/(Vol*SQRT((Mat-Pr_date)/365)))^2)/(Vol*SQRT((Mat-Pr_date)/365)*St)</f>
        <v>1.933340584014246E-2</v>
      </c>
    </row>
    <row r="17" spans="4:18" x14ac:dyDescent="0.25">
      <c r="D17" s="14" t="s">
        <v>29</v>
      </c>
      <c r="E17" s="15" t="s">
        <v>38</v>
      </c>
      <c r="F17" s="32" t="s">
        <v>47</v>
      </c>
      <c r="G17" s="34">
        <f>G15-G16</f>
        <v>5.1971780875756934E-3</v>
      </c>
      <c r="N17" s="56" t="s">
        <v>68</v>
      </c>
      <c r="O17" s="60"/>
      <c r="P17" s="60"/>
      <c r="Q17" s="60"/>
      <c r="R17" s="64">
        <f>R13-R15</f>
        <v>9.3302779056672058E-3</v>
      </c>
    </row>
    <row r="18" spans="4:18" ht="16.5" thickBot="1" x14ac:dyDescent="0.3">
      <c r="D18" s="14" t="s">
        <v>25</v>
      </c>
      <c r="E18" s="7"/>
      <c r="F18" s="32" t="s">
        <v>39</v>
      </c>
      <c r="G18" s="34">
        <v>0.24357938766479492</v>
      </c>
      <c r="N18" s="56" t="s">
        <v>69</v>
      </c>
      <c r="O18" s="60"/>
      <c r="P18" s="60"/>
      <c r="Q18" s="60"/>
      <c r="R18" s="64">
        <f>R16-R14</f>
        <v>1.9333405129599725E-2</v>
      </c>
    </row>
    <row r="19" spans="4:18" x14ac:dyDescent="0.25">
      <c r="D19" s="14" t="s">
        <v>27</v>
      </c>
      <c r="E19" s="7"/>
      <c r="F19" s="32" t="s">
        <v>40</v>
      </c>
      <c r="G19" s="34">
        <v>5.1109790802001953E-3</v>
      </c>
      <c r="J19" s="41" t="s">
        <v>45</v>
      </c>
      <c r="K19" s="9"/>
    </row>
    <row r="20" spans="4:18" x14ac:dyDescent="0.25">
      <c r="D20" s="20" t="s">
        <v>29</v>
      </c>
      <c r="E20" s="7"/>
      <c r="F20" s="32" t="s">
        <v>41</v>
      </c>
      <c r="G20" s="35">
        <f>G19+G18</f>
        <v>0.24869036674499512</v>
      </c>
      <c r="J20" s="37" t="s">
        <v>46</v>
      </c>
      <c r="K20" s="73">
        <f>3*OptPrice*Vol^2*((Mat-Pr_date)/365)/(8*SQRT(2*PI())*SQRT(EXP(Vol^2*Mat/365-1)))</f>
        <v>7.5229272071521769E-3</v>
      </c>
    </row>
    <row r="21" spans="4:18" x14ac:dyDescent="0.25">
      <c r="D21" s="20"/>
      <c r="E21" s="22"/>
      <c r="F21" s="58" t="s">
        <v>43</v>
      </c>
      <c r="G21" s="36">
        <v>8.880982064556175</v>
      </c>
      <c r="J21" s="37" t="s">
        <v>48</v>
      </c>
      <c r="K21" s="38">
        <f>ABS(O6-OptPrice)</f>
        <v>0.53242131929684078</v>
      </c>
    </row>
    <row r="22" spans="4:18" x14ac:dyDescent="0.25">
      <c r="D22" s="20"/>
      <c r="E22" s="4"/>
      <c r="F22" s="23" t="s">
        <v>44</v>
      </c>
      <c r="G22" s="23">
        <v>0.1409912109375</v>
      </c>
      <c r="J22" s="37" t="s">
        <v>75</v>
      </c>
      <c r="K22" s="61">
        <f>(O6-OptPrice)/(100*OptPrice)</f>
        <v>5.9950725654736288E-4</v>
      </c>
    </row>
    <row r="23" spans="4:18" ht="16.5" thickBot="1" x14ac:dyDescent="0.3">
      <c r="J23" s="39" t="s">
        <v>50</v>
      </c>
      <c r="K23" s="40">
        <f>3*St*Vol^2*((Mat-Pr_date)/365)/(8*SQRT(2*PI())*K21*SQRT(EXP(Vol^2*Mat/365-1)))</f>
        <v>0.15910009146597345</v>
      </c>
    </row>
  </sheetData>
  <conditionalFormatting sqref="R17:R18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9B69D-0657-4EF7-B174-AB8C5CCCADD2}">
  <sheetPr codeName="Feuil3"/>
  <dimension ref="A1:G12"/>
  <sheetViews>
    <sheetView showGridLines="0" workbookViewId="0">
      <selection activeCell="L16" sqref="L16"/>
    </sheetView>
  </sheetViews>
  <sheetFormatPr baseColWidth="10" defaultRowHeight="15.75" x14ac:dyDescent="0.25"/>
  <cols>
    <col min="1" max="1" width="26.375" bestFit="1" customWidth="1"/>
  </cols>
  <sheetData>
    <row r="1" spans="1:7" x14ac:dyDescent="0.25">
      <c r="A1" s="70" t="s">
        <v>76</v>
      </c>
      <c r="B1" s="56" t="s">
        <v>64</v>
      </c>
      <c r="C1" s="56" t="s">
        <v>65</v>
      </c>
      <c r="D1" s="56" t="s">
        <v>66</v>
      </c>
      <c r="E1" s="56" t="s">
        <v>67</v>
      </c>
      <c r="F1" s="56" t="s">
        <v>68</v>
      </c>
      <c r="G1" s="56" t="s">
        <v>69</v>
      </c>
    </row>
    <row r="2" spans="1:7" x14ac:dyDescent="0.25">
      <c r="A2" s="71">
        <v>50</v>
      </c>
      <c r="B2" s="65">
        <v>0.99990697960592456</v>
      </c>
      <c r="C2" s="65">
        <v>-1.4210854715202004E-9</v>
      </c>
      <c r="D2" s="65">
        <v>0.99989869343617666</v>
      </c>
      <c r="E2" s="69">
        <v>2.0035247582841205E-5</v>
      </c>
      <c r="F2" s="62">
        <v>8.2861697479064134E-6</v>
      </c>
      <c r="G2" s="62">
        <v>2.0036668668312726E-5</v>
      </c>
    </row>
    <row r="3" spans="1:7" x14ac:dyDescent="0.25">
      <c r="A3" s="71">
        <v>60</v>
      </c>
      <c r="B3" s="65">
        <v>0.99702920126460981</v>
      </c>
      <c r="C3" s="65">
        <v>-1.1368683772161603E-9</v>
      </c>
      <c r="D3" s="65">
        <v>0.99747735738166277</v>
      </c>
      <c r="E3" s="69">
        <v>3.9122095309171206E-4</v>
      </c>
      <c r="F3" s="62">
        <v>-4.4815611705295577E-4</v>
      </c>
      <c r="G3" s="62">
        <v>3.9122208996008928E-4</v>
      </c>
    </row>
    <row r="4" spans="1:7" x14ac:dyDescent="0.25">
      <c r="A4" s="71">
        <v>70</v>
      </c>
      <c r="B4" s="65">
        <v>0.97785008009694252</v>
      </c>
      <c r="C4" s="65">
        <v>-7.1054273576010019E-10</v>
      </c>
      <c r="D4" s="65">
        <v>0.97899266029187648</v>
      </c>
      <c r="E4" s="69">
        <v>2.5238312817917499E-3</v>
      </c>
      <c r="F4" s="62">
        <v>-1.142580194933962E-3</v>
      </c>
      <c r="G4" s="62">
        <v>2.5238319923344857E-3</v>
      </c>
    </row>
    <row r="5" spans="1:7" x14ac:dyDescent="0.25">
      <c r="A5" s="71">
        <v>80</v>
      </c>
      <c r="B5" s="65">
        <v>0.91845511126358303</v>
      </c>
      <c r="C5" s="65">
        <v>-2.8421709430404007E-10</v>
      </c>
      <c r="D5" s="65">
        <v>0.91398621558148618</v>
      </c>
      <c r="E5" s="69">
        <v>7.8498307960346448E-3</v>
      </c>
      <c r="F5" s="62">
        <v>4.4688956820968517E-3</v>
      </c>
      <c r="G5" s="62">
        <v>7.8498310802517391E-3</v>
      </c>
    </row>
    <row r="6" spans="1:7" x14ac:dyDescent="0.25">
      <c r="A6" s="71">
        <v>90</v>
      </c>
      <c r="B6" s="65">
        <v>0.78178687472227892</v>
      </c>
      <c r="C6" s="65">
        <v>9.5923269327613525E-10</v>
      </c>
      <c r="D6" s="65">
        <v>0.78136237230933636</v>
      </c>
      <c r="E6" s="69">
        <v>1.4751921557789722E-2</v>
      </c>
      <c r="F6" s="62">
        <v>4.245024129425623E-4</v>
      </c>
      <c r="G6" s="62">
        <v>1.4751920598557029E-2</v>
      </c>
    </row>
    <row r="7" spans="1:7" x14ac:dyDescent="0.25">
      <c r="A7" s="71">
        <v>100</v>
      </c>
      <c r="B7" s="65">
        <v>0.61218607375597145</v>
      </c>
      <c r="C7" s="65">
        <v>1.3145040611561853E-9</v>
      </c>
      <c r="D7" s="65">
        <v>0.5987063256829237</v>
      </c>
      <c r="E7" s="69">
        <v>1.933340584014246E-2</v>
      </c>
      <c r="F7" s="62">
        <v>1.3479748073047748E-2</v>
      </c>
      <c r="G7" s="72">
        <v>1.9333404525638399E-2</v>
      </c>
    </row>
    <row r="8" spans="1:7" x14ac:dyDescent="0.25">
      <c r="A8" s="71">
        <v>110</v>
      </c>
      <c r="B8" s="65">
        <v>0.41753565670514803</v>
      </c>
      <c r="C8" s="65">
        <v>1.6875389974302379E-9</v>
      </c>
      <c r="D8" s="65">
        <v>0.41038648819969364</v>
      </c>
      <c r="E8" s="69">
        <v>1.9441730592144799E-2</v>
      </c>
      <c r="F8" s="62">
        <v>7.1491685054543841E-3</v>
      </c>
      <c r="G8" s="62">
        <v>1.9441728904605802E-2</v>
      </c>
    </row>
    <row r="9" spans="1:7" x14ac:dyDescent="0.25">
      <c r="A9" s="71">
        <v>120</v>
      </c>
      <c r="B9" s="65">
        <v>0.24152039676970105</v>
      </c>
      <c r="C9" s="65">
        <v>-1.5987211554602254E-10</v>
      </c>
      <c r="D9" s="65">
        <v>0.2541113088260587</v>
      </c>
      <c r="E9" s="69">
        <v>1.6026154474763889E-2</v>
      </c>
      <c r="F9" s="62">
        <v>-1.259091205635765E-2</v>
      </c>
      <c r="G9" s="62">
        <v>1.6026154634636004E-2</v>
      </c>
    </row>
    <row r="10" spans="1:7" x14ac:dyDescent="0.25">
      <c r="A10" s="71">
        <v>130</v>
      </c>
      <c r="B10" s="65">
        <v>0.14201125532974368</v>
      </c>
      <c r="C10" s="65">
        <v>1.7763568394002505E-11</v>
      </c>
      <c r="D10" s="65">
        <v>0.14415840403251975</v>
      </c>
      <c r="E10" s="69">
        <v>1.1351526314540871E-2</v>
      </c>
      <c r="F10" s="62">
        <v>-2.1471487027760749E-3</v>
      </c>
      <c r="G10" s="62">
        <v>1.1351526296777303E-2</v>
      </c>
    </row>
    <row r="11" spans="1:7" x14ac:dyDescent="0.25">
      <c r="A11" s="71">
        <v>140</v>
      </c>
      <c r="B11" s="65">
        <v>7.4760621008951311E-2</v>
      </c>
      <c r="C11" s="65">
        <v>1.9761969838327786E-10</v>
      </c>
      <c r="D11" s="65">
        <v>7.6020240733246897E-2</v>
      </c>
      <c r="E11" s="69">
        <v>7.1510213509349873E-3</v>
      </c>
      <c r="F11" s="62">
        <v>-1.2596197242955853E-3</v>
      </c>
      <c r="G11" s="62">
        <v>7.1510211533152889E-3</v>
      </c>
    </row>
    <row r="12" spans="1:7" x14ac:dyDescent="0.25">
      <c r="A12" s="71">
        <v>150</v>
      </c>
      <c r="B12" s="65">
        <v>3.5061767069494154E-2</v>
      </c>
      <c r="C12" s="65">
        <v>3.6637359812630166E-11</v>
      </c>
      <c r="D12" s="65">
        <v>3.775734689392523E-2</v>
      </c>
      <c r="E12" s="69">
        <v>4.110897743346659E-3</v>
      </c>
      <c r="F12" s="62">
        <v>-2.6955798244310755E-3</v>
      </c>
      <c r="G12" s="62">
        <v>4.1108977067092992E-3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7D2B7-BC54-4E48-A728-9CC307F96EE9}">
  <sheetPr codeName="Feuil2"/>
  <dimension ref="A1:J22"/>
  <sheetViews>
    <sheetView showGridLines="0" workbookViewId="0">
      <selection activeCell="D28" sqref="D28"/>
    </sheetView>
  </sheetViews>
  <sheetFormatPr baseColWidth="10" defaultRowHeight="15.75" x14ac:dyDescent="0.25"/>
  <cols>
    <col min="3" max="3" width="18.625" bestFit="1" customWidth="1"/>
    <col min="4" max="4" width="14.25" bestFit="1" customWidth="1"/>
    <col min="9" max="9" width="16.5" bestFit="1" customWidth="1"/>
  </cols>
  <sheetData>
    <row r="1" spans="1:10" x14ac:dyDescent="0.25">
      <c r="A1" s="47" t="s">
        <v>58</v>
      </c>
      <c r="B1" s="47" t="s">
        <v>59</v>
      </c>
      <c r="C1" s="46" t="s">
        <v>60</v>
      </c>
      <c r="D1" s="46" t="s">
        <v>61</v>
      </c>
      <c r="H1" s="5"/>
      <c r="I1" s="24" t="s">
        <v>16</v>
      </c>
      <c r="J1" s="19">
        <v>44440</v>
      </c>
    </row>
    <row r="2" spans="1:10" x14ac:dyDescent="0.25">
      <c r="A2" s="48">
        <v>10</v>
      </c>
      <c r="B2" s="51">
        <v>6.0680606226116796</v>
      </c>
      <c r="C2" s="50">
        <v>1E-3</v>
      </c>
      <c r="D2" s="50">
        <f>('Results Tree-BS'!B2-$J$12)*A2</f>
        <v>0.66288184337556011</v>
      </c>
      <c r="H2" s="7"/>
      <c r="I2" s="25" t="s">
        <v>17</v>
      </c>
      <c r="J2" s="6">
        <v>100</v>
      </c>
    </row>
    <row r="3" spans="1:10" x14ac:dyDescent="0.25">
      <c r="A3" s="48">
        <v>50</v>
      </c>
      <c r="B3" s="51">
        <v>5.9988908418185867</v>
      </c>
      <c r="C3" s="53">
        <v>3.90625E-2</v>
      </c>
      <c r="D3" s="50">
        <f>('Results Tree-BS'!B3-$J$12)*A3</f>
        <v>-0.14407982277684361</v>
      </c>
      <c r="H3" s="8" t="s">
        <v>18</v>
      </c>
      <c r="I3" s="25" t="s">
        <v>19</v>
      </c>
      <c r="J3" s="33">
        <v>0.03</v>
      </c>
    </row>
    <row r="4" spans="1:10" x14ac:dyDescent="0.25">
      <c r="A4" s="48">
        <v>100</v>
      </c>
      <c r="B4" s="49">
        <v>5.9965752601863622</v>
      </c>
      <c r="C4" s="50">
        <v>0.1328125</v>
      </c>
      <c r="D4" s="50">
        <f>('Results Tree-BS'!B4-$J$12)*A4</f>
        <v>-0.51971780877613227</v>
      </c>
      <c r="H4" s="7"/>
      <c r="I4" s="25" t="s">
        <v>20</v>
      </c>
      <c r="J4" s="6">
        <v>0.2</v>
      </c>
    </row>
    <row r="5" spans="1:10" x14ac:dyDescent="0.25">
      <c r="A5" s="48">
        <v>150</v>
      </c>
      <c r="B5" s="51">
        <v>6.0074089445558814</v>
      </c>
      <c r="C5" s="53">
        <v>0.282989501953125</v>
      </c>
      <c r="D5" s="50">
        <f>('Results Tree-BS'!B5-$J$12)*A5</f>
        <v>0.84547594226367373</v>
      </c>
      <c r="H5" s="7"/>
      <c r="I5" s="25" t="s">
        <v>22</v>
      </c>
      <c r="J5" s="6">
        <v>0</v>
      </c>
    </row>
    <row r="6" spans="1:10" x14ac:dyDescent="0.25">
      <c r="A6" s="48">
        <v>200</v>
      </c>
      <c r="B6" s="51">
        <v>6.0056583249181923</v>
      </c>
      <c r="C6" s="53">
        <v>0.510009765625</v>
      </c>
      <c r="D6" s="50">
        <f>('Results Tree-BS'!B6-$J$12)*A6</f>
        <v>0.77717732881374957</v>
      </c>
      <c r="H6" s="9"/>
      <c r="I6" s="26" t="s">
        <v>24</v>
      </c>
      <c r="J6" s="19">
        <v>44621</v>
      </c>
    </row>
    <row r="7" spans="1:10" x14ac:dyDescent="0.25">
      <c r="A7" s="48">
        <v>300</v>
      </c>
      <c r="B7" s="51">
        <v>5.9956006230616641</v>
      </c>
      <c r="C7" s="53">
        <v>1.1090087890625</v>
      </c>
      <c r="D7" s="50">
        <f>('Results Tree-BS'!B7-$J$12)*A7</f>
        <v>-1.8515445637378392</v>
      </c>
      <c r="H7" s="5"/>
      <c r="I7" s="27" t="s">
        <v>26</v>
      </c>
      <c r="J7" s="19">
        <v>44805</v>
      </c>
    </row>
    <row r="8" spans="1:10" x14ac:dyDescent="0.25">
      <c r="A8" s="48">
        <v>400</v>
      </c>
      <c r="B8" s="51">
        <v>6.003013185960266</v>
      </c>
      <c r="C8" s="53">
        <v>1.72003173828125</v>
      </c>
      <c r="D8" s="50">
        <f>('Results Tree-BS'!B8-$J$12)*A8</f>
        <v>0.49629907445698507</v>
      </c>
      <c r="H8" s="7"/>
      <c r="I8" s="28" t="s">
        <v>28</v>
      </c>
      <c r="J8" s="6" t="s">
        <v>55</v>
      </c>
    </row>
    <row r="9" spans="1:10" x14ac:dyDescent="0.25">
      <c r="A9" s="48">
        <v>500</v>
      </c>
      <c r="B9" s="51">
        <v>6.0035524451507296</v>
      </c>
      <c r="C9" s="53">
        <v>2.6800537109375</v>
      </c>
      <c r="D9" s="50">
        <f>('Results Tree-BS'!B9-$J$12)*A9</f>
        <v>0.89000343830303308</v>
      </c>
      <c r="H9" s="10" t="s">
        <v>30</v>
      </c>
      <c r="I9" s="28" t="s">
        <v>31</v>
      </c>
      <c r="J9" s="21" t="s">
        <v>42</v>
      </c>
    </row>
    <row r="10" spans="1:10" x14ac:dyDescent="0.25">
      <c r="A10" s="48">
        <v>600</v>
      </c>
      <c r="B10" s="51">
        <v>6.0013775120649262</v>
      </c>
      <c r="C10" s="53">
        <v>3.8399658203125</v>
      </c>
      <c r="D10" s="50">
        <f>('Results Tree-BS'!B10-$J$12)*A10</f>
        <v>-0.23695572551840627</v>
      </c>
      <c r="H10" s="9"/>
      <c r="I10" s="52" t="s">
        <v>32</v>
      </c>
      <c r="J10" s="6">
        <v>99</v>
      </c>
    </row>
    <row r="11" spans="1:10" x14ac:dyDescent="0.25">
      <c r="A11" s="48">
        <v>700</v>
      </c>
      <c r="B11" s="51">
        <v>5.9997826194709871</v>
      </c>
      <c r="C11" s="53">
        <v>5.3399658203125</v>
      </c>
      <c r="D11" s="50">
        <f>('Results Tree-BS'!B11-$J$12)*A11</f>
        <v>-1.392873162195496</v>
      </c>
    </row>
    <row r="12" spans="1:10" x14ac:dyDescent="0.25">
      <c r="A12" s="48">
        <v>800</v>
      </c>
      <c r="B12" s="51">
        <v>6.0021301395729996</v>
      </c>
      <c r="C12" s="53">
        <v>6.989990234375</v>
      </c>
      <c r="D12" s="50">
        <f>('Results Tree-BS'!B12-$J$12)*A12</f>
        <v>0.28616103910081847</v>
      </c>
      <c r="I12" s="42" t="s">
        <v>62</v>
      </c>
      <c r="J12">
        <v>6.0017724382741235</v>
      </c>
    </row>
    <row r="13" spans="1:10" x14ac:dyDescent="0.25">
      <c r="A13" s="48">
        <v>900</v>
      </c>
      <c r="B13" s="51">
        <v>6.0028084711707121</v>
      </c>
      <c r="C13" s="53">
        <v>9.1300048828125</v>
      </c>
      <c r="D13" s="50">
        <f>('Results Tree-BS'!B13-$J$12)*A13</f>
        <v>0.93242960692974108</v>
      </c>
    </row>
    <row r="14" spans="1:10" x14ac:dyDescent="0.25">
      <c r="A14" s="48">
        <v>1000</v>
      </c>
      <c r="B14" s="51">
        <v>6.0024828505411021</v>
      </c>
      <c r="C14" s="53">
        <v>11.0599365234375</v>
      </c>
      <c r="D14" s="50">
        <f>('Results Tree-BS'!B14-$J$12)*A14</f>
        <v>0.71041226697854398</v>
      </c>
    </row>
    <row r="15" spans="1:10" x14ac:dyDescent="0.25">
      <c r="A15" s="48">
        <v>1100</v>
      </c>
      <c r="B15" s="51">
        <v>6.0015409337227759</v>
      </c>
      <c r="C15" s="53">
        <v>13.4599609375</v>
      </c>
      <c r="D15" s="50">
        <f>('Results Tree-BS'!B15-$J$12)*A15</f>
        <v>-0.25465500648245154</v>
      </c>
    </row>
    <row r="16" spans="1:10" x14ac:dyDescent="0.25">
      <c r="A16" s="48">
        <v>1200</v>
      </c>
      <c r="B16" s="51">
        <v>6.0002183827223963</v>
      </c>
      <c r="C16" s="53">
        <v>16.050048828125</v>
      </c>
      <c r="D16" s="50">
        <f>('Results Tree-BS'!B16-$J$12)*A16</f>
        <v>-1.8648666620727283</v>
      </c>
    </row>
    <row r="17" spans="1:4" x14ac:dyDescent="0.25">
      <c r="A17" s="48">
        <v>1300</v>
      </c>
      <c r="B17" s="51">
        <v>6.0014720893668567</v>
      </c>
      <c r="C17" s="53">
        <v>18.2030029296875</v>
      </c>
      <c r="D17" s="50">
        <f>('Results Tree-BS'!B17-$J$12)*A17</f>
        <v>-0.39045357944686998</v>
      </c>
    </row>
    <row r="18" spans="1:4" x14ac:dyDescent="0.25">
      <c r="A18" s="48">
        <v>1400</v>
      </c>
      <c r="B18" s="51">
        <v>6.0021730911779283</v>
      </c>
      <c r="C18" s="53">
        <v>22.333984375</v>
      </c>
      <c r="D18" s="50">
        <f>('Results Tree-BS'!B18-$J$12)*A18</f>
        <v>0.56091406532665644</v>
      </c>
    </row>
    <row r="19" spans="1:4" x14ac:dyDescent="0.25">
      <c r="A19" s="48">
        <v>1500</v>
      </c>
      <c r="B19" s="51">
        <v>6.0023995970202062</v>
      </c>
      <c r="C19" s="53">
        <v>24.6640625</v>
      </c>
      <c r="D19" s="50">
        <f>('Results Tree-BS'!B19-$J$12)*A19</f>
        <v>0.94073811912398497</v>
      </c>
    </row>
    <row r="20" spans="1:4" x14ac:dyDescent="0.25">
      <c r="A20" s="48">
        <v>1600</v>
      </c>
      <c r="B20" s="51">
        <v>6.0022749632453891</v>
      </c>
      <c r="C20" s="53">
        <v>28.247802734375</v>
      </c>
      <c r="D20" s="50">
        <f>('Results Tree-BS'!B20-$J$12)*A20</f>
        <v>0.80403995402491546</v>
      </c>
    </row>
    <row r="21" spans="1:4" x14ac:dyDescent="0.25">
      <c r="A21" s="48">
        <v>1700</v>
      </c>
      <c r="B21" s="51">
        <v>6.0018886758115331</v>
      </c>
      <c r="C21" s="53">
        <v>31.632080078125</v>
      </c>
      <c r="D21" s="50">
        <f>('Results Tree-BS'!B21-$J$12)*A21</f>
        <v>0.19760381359619217</v>
      </c>
    </row>
    <row r="22" spans="1:4" x14ac:dyDescent="0.25">
      <c r="A22" s="48">
        <v>2000</v>
      </c>
      <c r="B22" s="51">
        <v>6.0015856520059012</v>
      </c>
      <c r="C22" s="53">
        <v>44.22998046875</v>
      </c>
      <c r="D22" s="50">
        <f>('Results Tree-BS'!B22-$J$12)*A22</f>
        <v>-0.37357253644465516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C72E4-5EC7-4A37-82BA-5156E4038985}">
  <sheetPr codeName="Feuil1"/>
  <dimension ref="A60:AQ143"/>
  <sheetViews>
    <sheetView workbookViewId="0">
      <selection activeCell="E4" sqref="E4"/>
    </sheetView>
  </sheetViews>
  <sheetFormatPr baseColWidth="10" defaultRowHeight="15.75" x14ac:dyDescent="0.25"/>
  <sheetData>
    <row r="60" spans="39:43" x14ac:dyDescent="0.25">
      <c r="AQ60">
        <v>439.34846333392665</v>
      </c>
    </row>
    <row r="61" spans="39:43" x14ac:dyDescent="0.25">
      <c r="AP61">
        <v>424.13502010973315</v>
      </c>
      <c r="AQ61">
        <v>424.26227970375095</v>
      </c>
    </row>
    <row r="62" spans="39:43" x14ac:dyDescent="0.25">
      <c r="AO62">
        <v>409.44837707730414</v>
      </c>
      <c r="AP62">
        <v>409.57123001744719</v>
      </c>
      <c r="AQ62">
        <v>409.69411981900117</v>
      </c>
    </row>
    <row r="63" spans="39:43" x14ac:dyDescent="0.25">
      <c r="AN63">
        <v>395.27029257773688</v>
      </c>
      <c r="AO63">
        <v>395.38889145445177</v>
      </c>
      <c r="AP63">
        <v>395.50752591616782</v>
      </c>
      <c r="AQ63">
        <v>395.62619597356144</v>
      </c>
    </row>
    <row r="64" spans="39:43" x14ac:dyDescent="0.25">
      <c r="AM64">
        <v>381.5831566111973</v>
      </c>
      <c r="AN64">
        <v>381.69764873114002</v>
      </c>
      <c r="AO64">
        <v>381.81217520387088</v>
      </c>
      <c r="AP64">
        <v>381.92673603969843</v>
      </c>
      <c r="AQ64">
        <v>382.04133124893241</v>
      </c>
    </row>
    <row r="65" spans="23:43" x14ac:dyDescent="0.25">
      <c r="AL65">
        <v>368.36996896428678</v>
      </c>
      <c r="AM65">
        <v>368.48049653328258</v>
      </c>
      <c r="AN65">
        <v>368.59105726552326</v>
      </c>
      <c r="AO65">
        <v>368.70165117095883</v>
      </c>
      <c r="AP65">
        <v>368.81227825954392</v>
      </c>
      <c r="AQ65">
        <v>368.92293854123426</v>
      </c>
    </row>
    <row r="66" spans="23:43" x14ac:dyDescent="0.25">
      <c r="AK66">
        <v>355.61431809479336</v>
      </c>
      <c r="AL66">
        <v>355.72101839446645</v>
      </c>
      <c r="AM66">
        <v>355.82775070903159</v>
      </c>
      <c r="AN66">
        <v>355.93451504809451</v>
      </c>
      <c r="AO66">
        <v>356.04131142126352</v>
      </c>
      <c r="AP66">
        <v>356.14813983815139</v>
      </c>
      <c r="AQ66">
        <v>356.25500030837208</v>
      </c>
    </row>
    <row r="67" spans="23:43" x14ac:dyDescent="0.25">
      <c r="AJ67">
        <v>343.30036074760818</v>
      </c>
      <c r="AK67">
        <v>343.4033663058936</v>
      </c>
      <c r="AL67">
        <v>343.50640277048223</v>
      </c>
      <c r="AM67">
        <v>343.6094701506475</v>
      </c>
      <c r="AN67">
        <v>343.71256845566529</v>
      </c>
      <c r="AO67">
        <v>343.81569769481399</v>
      </c>
      <c r="AP67">
        <v>343.9188578773763</v>
      </c>
      <c r="AQ67">
        <v>344.02204901263599</v>
      </c>
    </row>
    <row r="68" spans="23:43" x14ac:dyDescent="0.25">
      <c r="AI68">
        <v>331.41280227648815</v>
      </c>
      <c r="AJ68">
        <v>331.51224103223859</v>
      </c>
      <c r="AK68">
        <v>331.61170962409096</v>
      </c>
      <c r="AL68">
        <v>331.71120806099748</v>
      </c>
      <c r="AM68">
        <v>331.81073635191302</v>
      </c>
      <c r="AN68">
        <v>331.91029450579509</v>
      </c>
      <c r="AO68">
        <v>332.00988253160341</v>
      </c>
      <c r="AP68">
        <v>332.10950043830195</v>
      </c>
      <c r="AQ68">
        <v>332.20914823485566</v>
      </c>
    </row>
    <row r="69" spans="23:43" x14ac:dyDescent="0.25">
      <c r="AH69">
        <v>319.93687764722171</v>
      </c>
      <c r="AI69">
        <v>320.03287310911526</v>
      </c>
      <c r="AJ69">
        <v>320.12889737396745</v>
      </c>
      <c r="AK69">
        <v>320.22495045042064</v>
      </c>
      <c r="AL69">
        <v>320.32103234711968</v>
      </c>
      <c r="AM69">
        <v>320.41714307271189</v>
      </c>
      <c r="AN69">
        <v>320.51328263584719</v>
      </c>
      <c r="AO69">
        <v>320.60945104517771</v>
      </c>
      <c r="AP69">
        <v>320.70564830935962</v>
      </c>
      <c r="AQ69">
        <v>320.80187443704995</v>
      </c>
    </row>
    <row r="70" spans="23:43" x14ac:dyDescent="0.25">
      <c r="AG70">
        <v>308.85833309860391</v>
      </c>
      <c r="AH70">
        <v>308.95100449854846</v>
      </c>
      <c r="AI70">
        <v>309.04370370408367</v>
      </c>
      <c r="AJ70">
        <v>309.13643072355228</v>
      </c>
      <c r="AK70">
        <v>309.22918556529987</v>
      </c>
      <c r="AL70">
        <v>309.32196823767447</v>
      </c>
      <c r="AM70">
        <v>309.41477874902648</v>
      </c>
      <c r="AN70">
        <v>309.50761710770871</v>
      </c>
      <c r="AO70">
        <v>309.60048332207634</v>
      </c>
      <c r="AP70">
        <v>309.6933774004882</v>
      </c>
      <c r="AQ70">
        <v>309.78629935130414</v>
      </c>
    </row>
    <row r="71" spans="23:43" x14ac:dyDescent="0.25">
      <c r="AF71">
        <v>298.16340843844119</v>
      </c>
      <c r="AG71">
        <v>298.25287087966797</v>
      </c>
      <c r="AH71">
        <v>298.34236016365332</v>
      </c>
      <c r="AI71">
        <v>298.4318762984513</v>
      </c>
      <c r="AJ71">
        <v>298.52141929211825</v>
      </c>
      <c r="AK71">
        <v>298.61098915271316</v>
      </c>
      <c r="AL71">
        <v>298.70058588829733</v>
      </c>
      <c r="AM71">
        <v>298.7902095069345</v>
      </c>
      <c r="AN71">
        <v>298.87986001669071</v>
      </c>
      <c r="AO71">
        <v>298.96953742563414</v>
      </c>
      <c r="AP71">
        <v>299.05924174183667</v>
      </c>
      <c r="AQ71">
        <v>299.14897297337103</v>
      </c>
    </row>
    <row r="72" spans="23:43" x14ac:dyDescent="0.25">
      <c r="AE72">
        <v>287.8388199525985</v>
      </c>
      <c r="AF72">
        <v>287.92518455262649</v>
      </c>
      <c r="AG72">
        <v>288.01157506592136</v>
      </c>
      <c r="AH72">
        <v>288.09799150025816</v>
      </c>
      <c r="AI72">
        <v>288.18443386341443</v>
      </c>
      <c r="AJ72">
        <v>288.27090216316986</v>
      </c>
      <c r="AK72">
        <v>288.35739640730668</v>
      </c>
      <c r="AL72">
        <v>288.44391660360941</v>
      </c>
      <c r="AM72">
        <v>288.53046275986492</v>
      </c>
      <c r="AN72">
        <v>288.61703488386223</v>
      </c>
      <c r="AO72">
        <v>288.70363298339248</v>
      </c>
      <c r="AP72">
        <v>288.79025706625043</v>
      </c>
      <c r="AQ72">
        <v>288.87690714023159</v>
      </c>
    </row>
    <row r="73" spans="23:43" x14ac:dyDescent="0.25">
      <c r="AD73">
        <v>277.8717439058583</v>
      </c>
      <c r="AE73">
        <v>277.95511793450913</v>
      </c>
      <c r="AF73">
        <v>278.03851697912063</v>
      </c>
      <c r="AG73">
        <v>278.12194104719896</v>
      </c>
      <c r="AH73">
        <v>278.20539014625206</v>
      </c>
      <c r="AI73">
        <v>278.28886428379053</v>
      </c>
      <c r="AJ73">
        <v>278.37236346732692</v>
      </c>
      <c r="AK73">
        <v>278.45588770437621</v>
      </c>
      <c r="AL73">
        <v>278.5394370024556</v>
      </c>
      <c r="AM73">
        <v>278.62301136908462</v>
      </c>
      <c r="AN73">
        <v>278.7066108117848</v>
      </c>
      <c r="AO73">
        <v>278.79023533807975</v>
      </c>
      <c r="AP73">
        <v>278.87388495549658</v>
      </c>
      <c r="AQ73">
        <v>278.95755967156316</v>
      </c>
    </row>
    <row r="74" spans="23:43" x14ac:dyDescent="0.25">
      <c r="AC74">
        <v>268.2498006141019</v>
      </c>
      <c r="AD74">
        <v>268.33028762673439</v>
      </c>
      <c r="AE74">
        <v>268.41079878909301</v>
      </c>
      <c r="AF74">
        <v>268.49133410842359</v>
      </c>
      <c r="AG74">
        <v>268.57189359197451</v>
      </c>
      <c r="AH74">
        <v>268.65247724699589</v>
      </c>
      <c r="AI74">
        <v>268.73308508074052</v>
      </c>
      <c r="AJ74">
        <v>268.81371710046295</v>
      </c>
      <c r="AK74">
        <v>268.89437331342009</v>
      </c>
      <c r="AL74">
        <v>268.97505372687101</v>
      </c>
      <c r="AM74">
        <v>269.05575834807706</v>
      </c>
      <c r="AN74">
        <v>269.13648718430147</v>
      </c>
      <c r="AO74">
        <v>269.21724024280957</v>
      </c>
      <c r="AP74">
        <v>269.29801753086997</v>
      </c>
      <c r="AQ74">
        <v>269.37881905575199</v>
      </c>
    </row>
    <row r="75" spans="23:43" x14ac:dyDescent="0.25">
      <c r="AB75">
        <v>258.96103906802591</v>
      </c>
      <c r="AC75">
        <v>259.03873903415837</v>
      </c>
      <c r="AD75">
        <v>259.11646231377767</v>
      </c>
      <c r="AE75">
        <v>259.19420891387875</v>
      </c>
      <c r="AF75">
        <v>259.27197884145875</v>
      </c>
      <c r="AG75">
        <v>259.34977210351713</v>
      </c>
      <c r="AH75">
        <v>259.42758870705501</v>
      </c>
      <c r="AI75">
        <v>259.50542865907613</v>
      </c>
      <c r="AJ75">
        <v>259.58329196658599</v>
      </c>
      <c r="AK75">
        <v>259.6611786365923</v>
      </c>
      <c r="AL75">
        <v>259.73908867610487</v>
      </c>
      <c r="AM75">
        <v>259.81702209213569</v>
      </c>
      <c r="AN75">
        <v>259.8949788916986</v>
      </c>
      <c r="AO75">
        <v>259.97295908180951</v>
      </c>
      <c r="AP75">
        <v>260.05096266948732</v>
      </c>
      <c r="AQ75">
        <v>260.12898966175186</v>
      </c>
    </row>
    <row r="76" spans="23:43" x14ac:dyDescent="0.25">
      <c r="AA76">
        <v>249.99392208929848</v>
      </c>
      <c r="AB76">
        <v>250.06893151677673</v>
      </c>
      <c r="AC76">
        <v>250.14396345045895</v>
      </c>
      <c r="AD76">
        <v>250.21901789709818</v>
      </c>
      <c r="AE76">
        <v>250.29409486344923</v>
      </c>
      <c r="AF76">
        <v>250.36919435626891</v>
      </c>
      <c r="AG76">
        <v>250.44431638231634</v>
      </c>
      <c r="AH76">
        <v>250.5194609483523</v>
      </c>
      <c r="AI76">
        <v>250.59462806113996</v>
      </c>
      <c r="AJ76">
        <v>250.66981772744433</v>
      </c>
      <c r="AK76">
        <v>250.74502995403242</v>
      </c>
      <c r="AL76">
        <v>250.82026474767343</v>
      </c>
      <c r="AM76">
        <v>250.89552211513848</v>
      </c>
      <c r="AN76">
        <v>250.97080206320064</v>
      </c>
      <c r="AO76">
        <v>251.04610459863488</v>
      </c>
      <c r="AP76">
        <v>251.12142972821914</v>
      </c>
      <c r="AQ76">
        <v>251.1967774587321</v>
      </c>
    </row>
    <row r="77" spans="23:43" x14ac:dyDescent="0.25">
      <c r="Z77">
        <v>241.3373120007175</v>
      </c>
      <c r="AA77">
        <v>241.40972405558304</v>
      </c>
      <c r="AB77">
        <v>241.48215783732363</v>
      </c>
      <c r="AC77">
        <v>241.55461335245857</v>
      </c>
      <c r="AD77">
        <v>241.62709060750899</v>
      </c>
      <c r="AE77">
        <v>241.69958960899777</v>
      </c>
      <c r="AF77">
        <v>241.77211036344968</v>
      </c>
      <c r="AG77">
        <v>241.84465287739181</v>
      </c>
      <c r="AH77">
        <v>241.91721715735272</v>
      </c>
      <c r="AI77">
        <v>241.9898032098634</v>
      </c>
      <c r="AJ77">
        <v>242.06241104145653</v>
      </c>
      <c r="AK77">
        <v>242.13504065866681</v>
      </c>
      <c r="AL77">
        <v>242.20769206803095</v>
      </c>
      <c r="AM77">
        <v>242.28036527608757</v>
      </c>
      <c r="AN77">
        <v>242.35306028937717</v>
      </c>
      <c r="AO77">
        <v>242.42577711444213</v>
      </c>
      <c r="AP77">
        <v>242.49851575782759</v>
      </c>
      <c r="AQ77">
        <v>242.57127622607948</v>
      </c>
    </row>
    <row r="78" spans="23:43" x14ac:dyDescent="0.25">
      <c r="Y78">
        <v>232.98045679257342</v>
      </c>
      <c r="Z78">
        <v>233.05036141477999</v>
      </c>
      <c r="AA78">
        <v>233.12028701151965</v>
      </c>
      <c r="AB78">
        <v>233.19023358908507</v>
      </c>
      <c r="AC78">
        <v>233.26020115377165</v>
      </c>
      <c r="AD78">
        <v>233.33018971187656</v>
      </c>
      <c r="AE78">
        <v>233.40019926969879</v>
      </c>
      <c r="AF78">
        <v>233.47022983353898</v>
      </c>
      <c r="AG78">
        <v>233.54028140970016</v>
      </c>
      <c r="AH78">
        <v>233.61035400448668</v>
      </c>
      <c r="AI78">
        <v>233.68044762420527</v>
      </c>
      <c r="AJ78">
        <v>233.7505622751643</v>
      </c>
      <c r="AK78">
        <v>233.82069796367409</v>
      </c>
      <c r="AL78">
        <v>233.89085469604689</v>
      </c>
      <c r="AM78">
        <v>233.96103247859679</v>
      </c>
      <c r="AN78">
        <v>234.03123131763974</v>
      </c>
      <c r="AO78">
        <v>234.10145121949344</v>
      </c>
      <c r="AP78">
        <v>234.17169219047827</v>
      </c>
      <c r="AQ78">
        <v>234.24195423691543</v>
      </c>
    </row>
    <row r="79" spans="23:43" x14ac:dyDescent="0.25">
      <c r="X79">
        <v>224.91297676802949</v>
      </c>
      <c r="Y79">
        <v>224.98046078315625</v>
      </c>
      <c r="Z79">
        <v>225.04796504652418</v>
      </c>
      <c r="AA79">
        <v>225.1154895642095</v>
      </c>
      <c r="AB79">
        <v>225.18303434228883</v>
      </c>
      <c r="AC79">
        <v>225.25059938684137</v>
      </c>
      <c r="AD79">
        <v>225.31818470394808</v>
      </c>
      <c r="AE79">
        <v>225.38579029969165</v>
      </c>
      <c r="AF79">
        <v>225.45341618015635</v>
      </c>
      <c r="AG79">
        <v>225.52106235142884</v>
      </c>
      <c r="AH79">
        <v>225.58872881959692</v>
      </c>
      <c r="AI79">
        <v>225.65641559075081</v>
      </c>
      <c r="AJ79">
        <v>225.72412267098227</v>
      </c>
      <c r="AK79">
        <v>225.79185006638488</v>
      </c>
      <c r="AL79">
        <v>225.8595977830542</v>
      </c>
      <c r="AM79">
        <v>225.9273658270875</v>
      </c>
      <c r="AN79">
        <v>225.99515420458386</v>
      </c>
      <c r="AO79">
        <v>226.06296292164402</v>
      </c>
      <c r="AP79">
        <v>226.13079198437131</v>
      </c>
      <c r="AQ79">
        <v>226.19864139886997</v>
      </c>
    </row>
    <row r="80" spans="23:43" x14ac:dyDescent="0.25">
      <c r="W80">
        <v>217.12485165094208</v>
      </c>
      <c r="X80">
        <v>217.18999887803281</v>
      </c>
      <c r="Y80">
        <v>217.25516565222378</v>
      </c>
      <c r="Z80">
        <v>217.32035197937941</v>
      </c>
      <c r="AA80">
        <v>217.38555786536722</v>
      </c>
      <c r="AB80">
        <v>217.45078331605518</v>
      </c>
      <c r="AC80">
        <v>217.51602833731377</v>
      </c>
      <c r="AD80">
        <v>217.58129293501511</v>
      </c>
      <c r="AE80">
        <v>217.64657711503304</v>
      </c>
      <c r="AF80">
        <v>217.71188088324294</v>
      </c>
      <c r="AG80">
        <v>217.7772042455224</v>
      </c>
      <c r="AH80">
        <v>217.84254720775027</v>
      </c>
      <c r="AI80">
        <v>217.90790977580755</v>
      </c>
      <c r="AJ80">
        <v>217.97329195557691</v>
      </c>
      <c r="AK80">
        <v>218.03869375294263</v>
      </c>
      <c r="AL80">
        <v>218.104115173791</v>
      </c>
      <c r="AM80">
        <v>218.16955622400988</v>
      </c>
      <c r="AN80">
        <v>218.23501690948899</v>
      </c>
      <c r="AO80">
        <v>218.30049723611953</v>
      </c>
      <c r="AP80">
        <v>218.36599720979527</v>
      </c>
      <c r="AQ80">
        <v>218.43151683641082</v>
      </c>
    </row>
    <row r="81" spans="7:43" x14ac:dyDescent="0.25">
      <c r="V81">
        <v>209.60640814009642</v>
      </c>
      <c r="W81">
        <v>209.66929949577005</v>
      </c>
      <c r="X81">
        <v>209.73220972168085</v>
      </c>
      <c r="Y81">
        <v>209.79513882349082</v>
      </c>
      <c r="Z81">
        <v>209.85808680686307</v>
      </c>
      <c r="AA81">
        <v>209.92105367746359</v>
      </c>
      <c r="AB81">
        <v>209.9840394409589</v>
      </c>
      <c r="AC81">
        <v>210.0470441030179</v>
      </c>
      <c r="AD81">
        <v>210.11006766931104</v>
      </c>
      <c r="AE81">
        <v>210.17311014551049</v>
      </c>
      <c r="AF81">
        <v>210.23617153728989</v>
      </c>
      <c r="AG81">
        <v>210.29925185032499</v>
      </c>
      <c r="AH81">
        <v>210.3623510902928</v>
      </c>
      <c r="AI81">
        <v>210.42546926287235</v>
      </c>
      <c r="AJ81">
        <v>210.48860637374435</v>
      </c>
      <c r="AK81">
        <v>210.55176242859099</v>
      </c>
      <c r="AL81">
        <v>210.61493743309643</v>
      </c>
      <c r="AM81">
        <v>210.6781313929464</v>
      </c>
      <c r="AN81">
        <v>210.74134431382836</v>
      </c>
      <c r="AO81">
        <v>210.80457620143122</v>
      </c>
      <c r="AP81">
        <v>210.86782706144638</v>
      </c>
      <c r="AQ81">
        <v>210.93109689956603</v>
      </c>
    </row>
    <row r="82" spans="7:43" x14ac:dyDescent="0.25">
      <c r="U82">
        <v>202.34830789440883</v>
      </c>
      <c r="V82">
        <v>202.40902149336162</v>
      </c>
      <c r="W82">
        <v>202.46975330912645</v>
      </c>
      <c r="X82">
        <v>202.53050334716929</v>
      </c>
      <c r="Y82">
        <v>202.59127161295768</v>
      </c>
      <c r="Z82">
        <v>202.65205811196034</v>
      </c>
      <c r="AA82">
        <v>202.71286284964867</v>
      </c>
      <c r="AB82">
        <v>202.77368583149462</v>
      </c>
      <c r="AC82">
        <v>202.83452706297243</v>
      </c>
      <c r="AD82">
        <v>202.89538654955783</v>
      </c>
      <c r="AE82">
        <v>202.95626429672822</v>
      </c>
      <c r="AF82">
        <v>203.01716030996246</v>
      </c>
      <c r="AG82">
        <v>203.07807459474137</v>
      </c>
      <c r="AH82">
        <v>203.13900715654702</v>
      </c>
      <c r="AI82">
        <v>203.19995800086346</v>
      </c>
      <c r="AJ82">
        <v>203.26092713317632</v>
      </c>
      <c r="AK82">
        <v>203.32191455897271</v>
      </c>
      <c r="AL82">
        <v>203.38292028374158</v>
      </c>
      <c r="AM82">
        <v>203.44394431297343</v>
      </c>
      <c r="AN82">
        <v>203.50498665216043</v>
      </c>
      <c r="AO82">
        <v>203.56604730679612</v>
      </c>
      <c r="AP82">
        <v>203.62712628237651</v>
      </c>
      <c r="AQ82">
        <v>203.68822358439832</v>
      </c>
    </row>
    <row r="83" spans="7:43" x14ac:dyDescent="0.25">
      <c r="T83">
        <v>195.34153593416778</v>
      </c>
      <c r="U83">
        <v>195.40014718619619</v>
      </c>
      <c r="V83">
        <v>195.45877602423803</v>
      </c>
      <c r="W83">
        <v>195.51742245356979</v>
      </c>
      <c r="X83">
        <v>195.57608647946978</v>
      </c>
      <c r="Y83">
        <v>195.63476810721781</v>
      </c>
      <c r="Z83">
        <v>195.69346734209481</v>
      </c>
      <c r="AA83">
        <v>195.75218418938425</v>
      </c>
      <c r="AB83">
        <v>195.81091865437025</v>
      </c>
      <c r="AC83">
        <v>195.86967074233908</v>
      </c>
      <c r="AD83">
        <v>195.92844045857842</v>
      </c>
      <c r="AE83">
        <v>195.98722780837758</v>
      </c>
      <c r="AF83">
        <v>196.04603279702732</v>
      </c>
      <c r="AG83">
        <v>196.10485542982022</v>
      </c>
      <c r="AH83">
        <v>196.16369571205016</v>
      </c>
      <c r="AI83">
        <v>196.22255364901284</v>
      </c>
      <c r="AJ83">
        <v>196.28142924600556</v>
      </c>
      <c r="AK83">
        <v>196.34032250832698</v>
      </c>
      <c r="AL83">
        <v>196.3992334412776</v>
      </c>
      <c r="AM83">
        <v>196.45816205015936</v>
      </c>
      <c r="AN83">
        <v>196.51710834027588</v>
      </c>
      <c r="AO83">
        <v>196.57607231693206</v>
      </c>
      <c r="AP83">
        <v>196.63505398543515</v>
      </c>
      <c r="AQ83">
        <v>196.69405335109315</v>
      </c>
    </row>
    <row r="84" spans="7:43" x14ac:dyDescent="0.25">
      <c r="S84">
        <v>188.57738944390803</v>
      </c>
      <c r="T84">
        <v>188.63397114757242</v>
      </c>
      <c r="U84">
        <v>188.69056982829426</v>
      </c>
      <c r="V84">
        <v>188.74718549116756</v>
      </c>
      <c r="W84">
        <v>188.80381814128762</v>
      </c>
      <c r="X84">
        <v>188.86046778375152</v>
      </c>
      <c r="Y84">
        <v>188.91713442365776</v>
      </c>
      <c r="Z84">
        <v>188.97381806610596</v>
      </c>
      <c r="AA84">
        <v>189.03051871619815</v>
      </c>
      <c r="AB84">
        <v>189.08723637903699</v>
      </c>
      <c r="AC84">
        <v>189.14397105972725</v>
      </c>
      <c r="AD84">
        <v>189.20072276337507</v>
      </c>
      <c r="AE84">
        <v>189.25749149508809</v>
      </c>
      <c r="AF84">
        <v>189.31427725997543</v>
      </c>
      <c r="AG84">
        <v>189.3710800631479</v>
      </c>
      <c r="AH84">
        <v>189.42789990971764</v>
      </c>
      <c r="AI84">
        <v>189.4847368047985</v>
      </c>
      <c r="AJ84">
        <v>189.54159075350589</v>
      </c>
      <c r="AK84">
        <v>189.5984617609565</v>
      </c>
      <c r="AL84">
        <v>189.65534983226883</v>
      </c>
      <c r="AM84">
        <v>189.71225497256276</v>
      </c>
      <c r="AN84">
        <v>189.76917718695984</v>
      </c>
      <c r="AO84">
        <v>189.82611648058275</v>
      </c>
      <c r="AP84">
        <v>189.88307285855655</v>
      </c>
      <c r="AQ84">
        <v>189.94004632600695</v>
      </c>
    </row>
    <row r="85" spans="7:43" x14ac:dyDescent="0.25">
      <c r="R85">
        <v>182.04746696301166</v>
      </c>
      <c r="S85">
        <v>182.10208939605585</v>
      </c>
      <c r="T85">
        <v>182.15672821828824</v>
      </c>
      <c r="U85">
        <v>182.21138343462621</v>
      </c>
      <c r="V85">
        <v>182.26605504998886</v>
      </c>
      <c r="W85">
        <v>182.32074306929655</v>
      </c>
      <c r="X85">
        <v>182.3754474974713</v>
      </c>
      <c r="Y85">
        <v>182.43016833943653</v>
      </c>
      <c r="Z85">
        <v>182.48490560011683</v>
      </c>
      <c r="AA85">
        <v>182.53965928443893</v>
      </c>
      <c r="AB85">
        <v>182.59442939733037</v>
      </c>
      <c r="AC85">
        <v>182.64921594372058</v>
      </c>
      <c r="AD85">
        <v>182.70401892854039</v>
      </c>
      <c r="AE85">
        <v>182.75883835672207</v>
      </c>
      <c r="AF85">
        <v>182.81367423319924</v>
      </c>
      <c r="AG85">
        <v>182.86852656290731</v>
      </c>
      <c r="AH85">
        <v>182.92339535078278</v>
      </c>
      <c r="AI85">
        <v>182.978280601764</v>
      </c>
      <c r="AJ85">
        <v>183.03318232079067</v>
      </c>
      <c r="AK85">
        <v>183.08810051280378</v>
      </c>
      <c r="AL85">
        <v>183.1430351827461</v>
      </c>
      <c r="AM85">
        <v>183.19798633556172</v>
      </c>
      <c r="AN85">
        <v>183.2529539761963</v>
      </c>
      <c r="AO85">
        <v>183.30793810959662</v>
      </c>
      <c r="AP85">
        <v>183.36293874071174</v>
      </c>
      <c r="AQ85">
        <v>183.41795587449141</v>
      </c>
    </row>
    <row r="86" spans="7:43" x14ac:dyDescent="0.25">
      <c r="Q86">
        <v>175.74365795060834</v>
      </c>
      <c r="R86">
        <v>175.79638895724898</v>
      </c>
      <c r="S86">
        <v>175.84913578556478</v>
      </c>
      <c r="T86">
        <v>175.90189844030297</v>
      </c>
      <c r="U86">
        <v>175.95467692621207</v>
      </c>
      <c r="V86">
        <v>176.00747124804226</v>
      </c>
      <c r="W86">
        <v>176.06028141054492</v>
      </c>
      <c r="X86">
        <v>176.11310741847311</v>
      </c>
      <c r="Y86">
        <v>176.16594927658113</v>
      </c>
      <c r="Z86">
        <v>176.21880698962454</v>
      </c>
      <c r="AA86">
        <v>176.27168056236084</v>
      </c>
      <c r="AB86">
        <v>176.32456999954843</v>
      </c>
      <c r="AC86">
        <v>176.3774753059474</v>
      </c>
      <c r="AD86">
        <v>176.43039648631932</v>
      </c>
      <c r="AE86">
        <v>176.48333354542709</v>
      </c>
      <c r="AF86">
        <v>176.53628648803493</v>
      </c>
      <c r="AG86">
        <v>176.58925531890873</v>
      </c>
      <c r="AH86">
        <v>176.64224004281556</v>
      </c>
      <c r="AI86">
        <v>176.69524066452414</v>
      </c>
      <c r="AJ86">
        <v>176.74825718880456</v>
      </c>
      <c r="AK86">
        <v>176.80128962042815</v>
      </c>
      <c r="AL86">
        <v>176.85433796416797</v>
      </c>
      <c r="AM86">
        <v>176.90740222479835</v>
      </c>
      <c r="AN86">
        <v>176.9604824070951</v>
      </c>
      <c r="AO86">
        <v>177.01357851583515</v>
      </c>
      <c r="AP86">
        <v>177.06669055579763</v>
      </c>
      <c r="AQ86">
        <v>177.11981853176232</v>
      </c>
    </row>
    <row r="87" spans="7:43" x14ac:dyDescent="0.25">
      <c r="P87">
        <v>169.65813271181511</v>
      </c>
      <c r="Q87">
        <v>169.70903778700816</v>
      </c>
      <c r="R87">
        <v>169.75995813601466</v>
      </c>
      <c r="S87">
        <v>169.81089376341754</v>
      </c>
      <c r="T87">
        <v>169.86184467380102</v>
      </c>
      <c r="U87">
        <v>169.91281087175057</v>
      </c>
      <c r="V87">
        <v>169.96379236185325</v>
      </c>
      <c r="W87">
        <v>170.0147891486973</v>
      </c>
      <c r="X87">
        <v>170.06580123687257</v>
      </c>
      <c r="Y87">
        <v>170.11682863097013</v>
      </c>
      <c r="Z87">
        <v>170.16787133558222</v>
      </c>
      <c r="AA87">
        <v>170.21892935530295</v>
      </c>
      <c r="AB87">
        <v>170.2700026947274</v>
      </c>
      <c r="AC87">
        <v>170.32109135845215</v>
      </c>
      <c r="AD87">
        <v>170.37219535107528</v>
      </c>
      <c r="AE87">
        <v>170.42331467719615</v>
      </c>
      <c r="AF87">
        <v>170.47444934141541</v>
      </c>
      <c r="AG87">
        <v>170.52559934833528</v>
      </c>
      <c r="AH87">
        <v>170.57676470255913</v>
      </c>
      <c r="AI87">
        <v>170.62794540869194</v>
      </c>
      <c r="AJ87">
        <v>170.67914147134002</v>
      </c>
      <c r="AK87">
        <v>170.73035289511085</v>
      </c>
      <c r="AL87">
        <v>170.7815796846136</v>
      </c>
      <c r="AM87">
        <v>170.83282184445866</v>
      </c>
      <c r="AN87">
        <v>170.88407937925786</v>
      </c>
      <c r="AO87">
        <v>170.93535229362408</v>
      </c>
      <c r="AP87">
        <v>170.98664059217236</v>
      </c>
      <c r="AQ87">
        <v>171.03794427951834</v>
      </c>
    </row>
    <row r="88" spans="7:43" x14ac:dyDescent="0.25">
      <c r="O88">
        <v>163.78333267280345</v>
      </c>
      <c r="P88">
        <v>163.83247504359238</v>
      </c>
      <c r="Q88">
        <v>163.88163215930413</v>
      </c>
      <c r="R88">
        <v>163.93080402436286</v>
      </c>
      <c r="S88">
        <v>163.97999064319407</v>
      </c>
      <c r="T88">
        <v>164.0291920202246</v>
      </c>
      <c r="U88">
        <v>164.07840815988246</v>
      </c>
      <c r="V88">
        <v>164.1276390665972</v>
      </c>
      <c r="W88">
        <v>164.17688474479954</v>
      </c>
      <c r="X88">
        <v>164.22614519892164</v>
      </c>
      <c r="Y88">
        <v>164.27542043339702</v>
      </c>
      <c r="Z88">
        <v>164.32471045266018</v>
      </c>
      <c r="AA88">
        <v>164.37401526114749</v>
      </c>
      <c r="AB88">
        <v>164.42333486329625</v>
      </c>
      <c r="AC88">
        <v>164.47266926354521</v>
      </c>
      <c r="AD88">
        <v>164.52201846633457</v>
      </c>
      <c r="AE88">
        <v>164.57138247610573</v>
      </c>
      <c r="AF88">
        <v>164.62076129730139</v>
      </c>
      <c r="AG88">
        <v>164.67015493436571</v>
      </c>
      <c r="AH88">
        <v>164.719563391744</v>
      </c>
      <c r="AI88">
        <v>164.76898667388318</v>
      </c>
      <c r="AJ88">
        <v>164.81842478523129</v>
      </c>
      <c r="AK88">
        <v>164.86787773023767</v>
      </c>
      <c r="AL88">
        <v>164.91734551335318</v>
      </c>
      <c r="AM88">
        <v>164.96682813902993</v>
      </c>
      <c r="AN88">
        <v>165.01632561172138</v>
      </c>
      <c r="AO88">
        <v>165.06583793588203</v>
      </c>
      <c r="AP88">
        <v>165.11536511596842</v>
      </c>
      <c r="AQ88">
        <v>165.16490715643772</v>
      </c>
    </row>
    <row r="89" spans="7:43" x14ac:dyDescent="0.25">
      <c r="N89">
        <v>158.11196099261386</v>
      </c>
      <c r="O89">
        <v>158.15940169666143</v>
      </c>
      <c r="P89">
        <v>158.20685663505532</v>
      </c>
      <c r="Q89">
        <v>158.25432581206636</v>
      </c>
      <c r="R89">
        <v>158.30180923196679</v>
      </c>
      <c r="S89">
        <v>158.34930689903018</v>
      </c>
      <c r="T89">
        <v>158.39681881753137</v>
      </c>
      <c r="U89">
        <v>158.44434499174628</v>
      </c>
      <c r="V89">
        <v>158.49188542595238</v>
      </c>
      <c r="W89">
        <v>158.53944012442824</v>
      </c>
      <c r="X89">
        <v>158.58700909145387</v>
      </c>
      <c r="Y89">
        <v>158.6345923313105</v>
      </c>
      <c r="Z89">
        <v>158.68218984828039</v>
      </c>
      <c r="AA89">
        <v>158.72980164664756</v>
      </c>
      <c r="AB89">
        <v>158.77742773069696</v>
      </c>
      <c r="AC89">
        <v>158.82506810471492</v>
      </c>
      <c r="AD89">
        <v>158.87272277298914</v>
      </c>
      <c r="AE89">
        <v>158.92039173980857</v>
      </c>
      <c r="AF89">
        <v>158.96807500946332</v>
      </c>
      <c r="AG89">
        <v>159.01577258624496</v>
      </c>
      <c r="AH89">
        <v>159.06348447444617</v>
      </c>
      <c r="AI89">
        <v>159.11121067836115</v>
      </c>
      <c r="AJ89">
        <v>159.15895120228524</v>
      </c>
      <c r="AK89">
        <v>159.20670605051495</v>
      </c>
      <c r="AL89">
        <v>159.25447522734834</v>
      </c>
      <c r="AM89">
        <v>159.30225873708463</v>
      </c>
      <c r="AN89">
        <v>159.3500565840244</v>
      </c>
      <c r="AO89">
        <v>159.39786877246914</v>
      </c>
      <c r="AP89">
        <v>159.44569530672237</v>
      </c>
      <c r="AQ89">
        <v>159.49353619108825</v>
      </c>
    </row>
    <row r="90" spans="7:43" x14ac:dyDescent="0.25">
      <c r="M90">
        <v>152.63697350005774</v>
      </c>
      <c r="N90">
        <v>152.68277146145849</v>
      </c>
      <c r="O90">
        <v>152.72858316430876</v>
      </c>
      <c r="P90">
        <v>152.77440861273166</v>
      </c>
      <c r="Q90">
        <v>152.82024781085138</v>
      </c>
      <c r="R90">
        <v>152.86610076279351</v>
      </c>
      <c r="S90">
        <v>152.91196747268481</v>
      </c>
      <c r="T90">
        <v>152.95784794465334</v>
      </c>
      <c r="U90">
        <v>153.0037421828282</v>
      </c>
      <c r="V90">
        <v>153.04965019134002</v>
      </c>
      <c r="W90">
        <v>153.09557197432042</v>
      </c>
      <c r="X90">
        <v>153.14150753590246</v>
      </c>
      <c r="Y90">
        <v>153.18745688022034</v>
      </c>
      <c r="Z90">
        <v>153.23342001140929</v>
      </c>
      <c r="AA90">
        <v>153.27939693360625</v>
      </c>
      <c r="AB90">
        <v>153.32538765094898</v>
      </c>
      <c r="AC90">
        <v>153.37139216757669</v>
      </c>
      <c r="AD90">
        <v>153.41741048762981</v>
      </c>
      <c r="AE90">
        <v>153.46344261525002</v>
      </c>
      <c r="AF90">
        <v>153.50948855458014</v>
      </c>
      <c r="AG90">
        <v>153.55554830976436</v>
      </c>
      <c r="AH90">
        <v>153.60162188494797</v>
      </c>
      <c r="AI90">
        <v>153.64770928427768</v>
      </c>
      <c r="AJ90">
        <v>153.6938105119014</v>
      </c>
      <c r="AK90">
        <v>153.73992557196809</v>
      </c>
      <c r="AL90">
        <v>153.78605446862818</v>
      </c>
      <c r="AM90">
        <v>153.8321972060333</v>
      </c>
      <c r="AN90">
        <v>153.87835378833637</v>
      </c>
      <c r="AO90">
        <v>153.92452421969116</v>
      </c>
      <c r="AP90">
        <v>153.97070850425342</v>
      </c>
      <c r="AQ90">
        <v>154.01690664617954</v>
      </c>
    </row>
    <row r="91" spans="7:43" x14ac:dyDescent="0.25">
      <c r="L91">
        <v>147.3515699444502</v>
      </c>
      <c r="M91">
        <v>147.39578204691736</v>
      </c>
      <c r="N91">
        <v>147.44000741500497</v>
      </c>
      <c r="O91">
        <v>147.48424605269332</v>
      </c>
      <c r="P91">
        <v>147.52849796396396</v>
      </c>
      <c r="Q91">
        <v>147.57276315279947</v>
      </c>
      <c r="R91">
        <v>147.61704162318375</v>
      </c>
      <c r="S91">
        <v>147.6613333791019</v>
      </c>
      <c r="T91">
        <v>147.70563842454018</v>
      </c>
      <c r="U91">
        <v>147.74995676348595</v>
      </c>
      <c r="V91">
        <v>147.79428839992798</v>
      </c>
      <c r="W91">
        <v>147.83863333785604</v>
      </c>
      <c r="X91">
        <v>147.88299158126122</v>
      </c>
      <c r="Y91">
        <v>147.92736313413582</v>
      </c>
      <c r="Z91">
        <v>147.97174800047307</v>
      </c>
      <c r="AA91">
        <v>148.01614618426782</v>
      </c>
      <c r="AB91">
        <v>148.06055768951578</v>
      </c>
      <c r="AC91">
        <v>148.10498252021401</v>
      </c>
      <c r="AD91">
        <v>148.14942068036081</v>
      </c>
      <c r="AE91">
        <v>148.19387217395558</v>
      </c>
      <c r="AF91">
        <v>148.23833700499893</v>
      </c>
      <c r="AG91">
        <v>148.28281517749272</v>
      </c>
      <c r="AH91">
        <v>148.32730669543994</v>
      </c>
      <c r="AI91">
        <v>148.37181156284487</v>
      </c>
      <c r="AJ91">
        <v>148.41632978371302</v>
      </c>
      <c r="AK91">
        <v>148.46086136205088</v>
      </c>
      <c r="AL91">
        <v>148.50540630186634</v>
      </c>
      <c r="AM91">
        <v>148.5499646071685</v>
      </c>
      <c r="AN91">
        <v>148.59453628196766</v>
      </c>
      <c r="AO91">
        <v>148.639121330275</v>
      </c>
      <c r="AP91">
        <v>148.6837197561035</v>
      </c>
      <c r="AQ91">
        <v>148.7283315634669</v>
      </c>
    </row>
    <row r="92" spans="7:43" x14ac:dyDescent="0.25">
      <c r="K92">
        <v>142.24918554930596</v>
      </c>
      <c r="L92">
        <v>142.29186670682427</v>
      </c>
      <c r="M92">
        <v>142.3345606706107</v>
      </c>
      <c r="N92">
        <v>142.37726744450768</v>
      </c>
      <c r="O92">
        <v>142.41998703235879</v>
      </c>
      <c r="P92">
        <v>142.46271943800889</v>
      </c>
      <c r="Q92">
        <v>142.50546466530378</v>
      </c>
      <c r="R92">
        <v>142.54822271809059</v>
      </c>
      <c r="S92">
        <v>142.59099360021753</v>
      </c>
      <c r="T92">
        <v>142.63377731553405</v>
      </c>
      <c r="U92">
        <v>142.67657386789054</v>
      </c>
      <c r="V92">
        <v>142.71938326113883</v>
      </c>
      <c r="W92">
        <v>142.76220549913168</v>
      </c>
      <c r="X92">
        <v>142.80504058572316</v>
      </c>
      <c r="Y92">
        <v>142.84788852476842</v>
      </c>
      <c r="Z92">
        <v>142.89074932012366</v>
      </c>
      <c r="AA92">
        <v>142.9336229756465</v>
      </c>
      <c r="AB92">
        <v>142.97650949519544</v>
      </c>
      <c r="AC92">
        <v>143.01940888263033</v>
      </c>
      <c r="AD92">
        <v>143.06232114181216</v>
      </c>
      <c r="AE92">
        <v>143.105246276603</v>
      </c>
      <c r="AF92">
        <v>143.14818429086608</v>
      </c>
      <c r="AG92">
        <v>143.19113518846584</v>
      </c>
      <c r="AH92">
        <v>143.23409897326786</v>
      </c>
      <c r="AI92">
        <v>143.27707564913885</v>
      </c>
      <c r="AJ92">
        <v>143.32006521994685</v>
      </c>
      <c r="AK92">
        <v>143.36306768956075</v>
      </c>
      <c r="AL92">
        <v>143.40608306185081</v>
      </c>
      <c r="AM92">
        <v>143.44911134068846</v>
      </c>
      <c r="AN92">
        <v>143.49215252994631</v>
      </c>
      <c r="AO92">
        <v>143.53520663349784</v>
      </c>
      <c r="AP92">
        <v>143.57827365521817</v>
      </c>
      <c r="AQ92">
        <v>143.62135359898323</v>
      </c>
    </row>
    <row r="93" spans="7:43" x14ac:dyDescent="0.25">
      <c r="J93">
        <v>137.3234828585075</v>
      </c>
      <c r="K93">
        <v>137.36468608353977</v>
      </c>
      <c r="L93">
        <v>137.40590167139388</v>
      </c>
      <c r="M93">
        <v>137.44712962577927</v>
      </c>
      <c r="N93">
        <v>137.48836995040639</v>
      </c>
      <c r="O93">
        <v>137.5296226489869</v>
      </c>
      <c r="P93">
        <v>137.57088772523358</v>
      </c>
      <c r="Q93">
        <v>137.6121651828602</v>
      </c>
      <c r="R93">
        <v>137.65345502558176</v>
      </c>
      <c r="S93">
        <v>137.69475725711439</v>
      </c>
      <c r="T93">
        <v>137.73607188117529</v>
      </c>
      <c r="U93">
        <v>137.77739890148271</v>
      </c>
      <c r="V93">
        <v>137.81873832175614</v>
      </c>
      <c r="W93">
        <v>137.8600901457161</v>
      </c>
      <c r="X93">
        <v>137.90145437708432</v>
      </c>
      <c r="Y93">
        <v>137.94283101958354</v>
      </c>
      <c r="Z93">
        <v>137.98422007693756</v>
      </c>
      <c r="AA93">
        <v>138.02562155287154</v>
      </c>
      <c r="AB93">
        <v>138.06703545111151</v>
      </c>
      <c r="AC93">
        <v>138.10846177538474</v>
      </c>
      <c r="AD93">
        <v>138.14990052941968</v>
      </c>
      <c r="AE93">
        <v>138.19135171694575</v>
      </c>
      <c r="AF93">
        <v>138.23281534169357</v>
      </c>
      <c r="AG93">
        <v>138.27429140739486</v>
      </c>
      <c r="AH93">
        <v>138.31577991778246</v>
      </c>
      <c r="AI93">
        <v>138.35728087659032</v>
      </c>
      <c r="AJ93">
        <v>138.39879428755364</v>
      </c>
      <c r="AK93">
        <v>138.44032015440848</v>
      </c>
      <c r="AL93">
        <v>138.48185848089221</v>
      </c>
      <c r="AM93">
        <v>138.52340927074331</v>
      </c>
      <c r="AN93">
        <v>138.5649725277014</v>
      </c>
      <c r="AO93">
        <v>138.60654825550699</v>
      </c>
      <c r="AP93">
        <v>138.64813645790213</v>
      </c>
      <c r="AQ93">
        <v>138.68973713862962</v>
      </c>
    </row>
    <row r="94" spans="7:43" x14ac:dyDescent="0.25">
      <c r="I94">
        <v>132.56834386481876</v>
      </c>
      <c r="J94">
        <v>132.60812033415027</v>
      </c>
      <c r="K94">
        <v>132.64790873821269</v>
      </c>
      <c r="L94">
        <v>132.68770908058701</v>
      </c>
      <c r="M94">
        <v>132.72752136485525</v>
      </c>
      <c r="N94">
        <v>132.7673455946005</v>
      </c>
      <c r="O94">
        <v>132.80718177340691</v>
      </c>
      <c r="P94">
        <v>132.84702990485982</v>
      </c>
      <c r="Q94">
        <v>132.88688999254546</v>
      </c>
      <c r="R94">
        <v>132.9267620400513</v>
      </c>
      <c r="S94">
        <v>132.96664605096581</v>
      </c>
      <c r="T94">
        <v>133.00654202887858</v>
      </c>
      <c r="U94">
        <v>133.04644997738018</v>
      </c>
      <c r="V94">
        <v>133.08636990006241</v>
      </c>
      <c r="W94">
        <v>133.12630180051798</v>
      </c>
      <c r="X94">
        <v>133.16624568234084</v>
      </c>
      <c r="Y94">
        <v>133.20620154912595</v>
      </c>
      <c r="Z94">
        <v>133.24616940446919</v>
      </c>
      <c r="AA94">
        <v>133.28614925196783</v>
      </c>
      <c r="AB94">
        <v>133.32614109521992</v>
      </c>
      <c r="AC94">
        <v>133.36614493782483</v>
      </c>
      <c r="AD94">
        <v>133.40616078338289</v>
      </c>
      <c r="AE94">
        <v>133.4461886354955</v>
      </c>
      <c r="AF94">
        <v>133.48622849776521</v>
      </c>
      <c r="AG94">
        <v>133.52628037379554</v>
      </c>
      <c r="AH94">
        <v>133.5663442671912</v>
      </c>
      <c r="AI94">
        <v>133.60642018155792</v>
      </c>
      <c r="AJ94">
        <v>133.6465081205026</v>
      </c>
      <c r="AK94">
        <v>133.68660808763306</v>
      </c>
      <c r="AL94">
        <v>133.72672008655834</v>
      </c>
      <c r="AM94">
        <v>133.76684412088852</v>
      </c>
      <c r="AN94">
        <v>133.8069801942348</v>
      </c>
      <c r="AO94">
        <v>133.84712831020929</v>
      </c>
      <c r="AP94">
        <v>133.88728847242552</v>
      </c>
      <c r="AQ94">
        <v>133.92746068449779</v>
      </c>
    </row>
    <row r="95" spans="7:43" x14ac:dyDescent="0.25">
      <c r="H95">
        <v>127.97786241096679</v>
      </c>
      <c r="I95">
        <v>128.01626152926983</v>
      </c>
      <c r="J95">
        <v>128.05467216903648</v>
      </c>
      <c r="K95">
        <v>128.09309433372371</v>
      </c>
      <c r="L95">
        <v>128.13152802678954</v>
      </c>
      <c r="M95">
        <v>128.16997325169299</v>
      </c>
      <c r="N95">
        <v>128.20843001189411</v>
      </c>
      <c r="O95">
        <v>128.24689831085399</v>
      </c>
      <c r="P95">
        <v>128.28537815203487</v>
      </c>
      <c r="Q95">
        <v>128.3238695388998</v>
      </c>
      <c r="R95">
        <v>128.36237247491309</v>
      </c>
      <c r="S95">
        <v>128.40088696353999</v>
      </c>
      <c r="T95">
        <v>128.43941300824682</v>
      </c>
      <c r="U95">
        <v>128.47795061250088</v>
      </c>
      <c r="V95">
        <v>128.51649977977061</v>
      </c>
      <c r="W95">
        <v>128.55506051352538</v>
      </c>
      <c r="X95">
        <v>128.59363281723572</v>
      </c>
      <c r="Y95">
        <v>128.63221669437311</v>
      </c>
      <c r="Z95">
        <v>128.67081214841002</v>
      </c>
      <c r="AA95">
        <v>128.70941918282017</v>
      </c>
      <c r="AB95">
        <v>128.74803780107808</v>
      </c>
      <c r="AC95">
        <v>128.78666800665951</v>
      </c>
      <c r="AD95">
        <v>128.82530980304114</v>
      </c>
      <c r="AE95">
        <v>128.86396319370073</v>
      </c>
      <c r="AF95">
        <v>128.90262818211716</v>
      </c>
      <c r="AG95">
        <v>128.94130477177015</v>
      </c>
      <c r="AH95">
        <v>128.97999296614066</v>
      </c>
      <c r="AI95">
        <v>129.01869276871062</v>
      </c>
      <c r="AJ95">
        <v>129.05740418296307</v>
      </c>
      <c r="AK95">
        <v>129.09612721238193</v>
      </c>
      <c r="AL95">
        <v>129.13486186045233</v>
      </c>
      <c r="AM95">
        <v>129.1736081306604</v>
      </c>
      <c r="AN95">
        <v>129.2123660264933</v>
      </c>
      <c r="AO95">
        <v>129.25113555143918</v>
      </c>
      <c r="AP95">
        <v>129.28991670898742</v>
      </c>
      <c r="AQ95">
        <v>129.32870950262821</v>
      </c>
    </row>
    <row r="96" spans="7:43" x14ac:dyDescent="0.25">
      <c r="G96">
        <v>123.54633685385325</v>
      </c>
      <c r="H96">
        <v>123.58340631505055</v>
      </c>
      <c r="I96">
        <v>123.62048689875452</v>
      </c>
      <c r="J96">
        <v>123.65757860830237</v>
      </c>
      <c r="K96">
        <v>123.69468144703239</v>
      </c>
      <c r="L96">
        <v>123.73179541828384</v>
      </c>
      <c r="M96">
        <v>123.76892052539695</v>
      </c>
      <c r="N96">
        <v>123.806056771713</v>
      </c>
      <c r="O96">
        <v>123.84320416057423</v>
      </c>
      <c r="P96">
        <v>123.88036269532395</v>
      </c>
      <c r="Q96">
        <v>123.91753237930637</v>
      </c>
      <c r="R96">
        <v>123.95471321586678</v>
      </c>
      <c r="S96">
        <v>123.99190520835147</v>
      </c>
      <c r="T96">
        <v>124.0291083601077</v>
      </c>
      <c r="U96">
        <v>124.06632267448379</v>
      </c>
      <c r="V96">
        <v>124.10354815482899</v>
      </c>
      <c r="W96">
        <v>124.14078480449359</v>
      </c>
      <c r="X96">
        <v>124.17803262682894</v>
      </c>
      <c r="Y96">
        <v>124.21529162518733</v>
      </c>
      <c r="Z96">
        <v>124.25256180292199</v>
      </c>
      <c r="AA96">
        <v>124.28984316338733</v>
      </c>
      <c r="AB96">
        <v>124.32713570993863</v>
      </c>
      <c r="AC96">
        <v>124.36443944593221</v>
      </c>
      <c r="AD96">
        <v>124.40175437472544</v>
      </c>
      <c r="AE96">
        <v>124.43908049967663</v>
      </c>
      <c r="AF96">
        <v>124.4764178241452</v>
      </c>
      <c r="AG96">
        <v>124.51376635149143</v>
      </c>
      <c r="AH96">
        <v>124.5511260850767</v>
      </c>
      <c r="AI96">
        <v>124.5884970282634</v>
      </c>
      <c r="AJ96">
        <v>124.62587918441497</v>
      </c>
      <c r="AK96">
        <v>124.66327255689571</v>
      </c>
      <c r="AL96">
        <v>124.70067714907105</v>
      </c>
      <c r="AM96">
        <v>124.73809296430744</v>
      </c>
      <c r="AN96">
        <v>124.77552000597228</v>
      </c>
      <c r="AO96">
        <v>124.81295827743398</v>
      </c>
      <c r="AP96">
        <v>124.85040778206205</v>
      </c>
      <c r="AQ96">
        <v>124.8878685232269</v>
      </c>
    </row>
    <row r="97" spans="1:43" x14ac:dyDescent="0.25">
      <c r="F97">
        <v>119.26826298278431</v>
      </c>
      <c r="G97">
        <v>119.30404882928774</v>
      </c>
      <c r="H97">
        <v>119.33984541315563</v>
      </c>
      <c r="I97">
        <v>119.37565273760968</v>
      </c>
      <c r="J97">
        <v>119.41147080587255</v>
      </c>
      <c r="K97">
        <v>119.44729962116789</v>
      </c>
      <c r="L97">
        <v>119.48313918672028</v>
      </c>
      <c r="M97">
        <v>119.51898950575527</v>
      </c>
      <c r="N97">
        <v>119.55485058149941</v>
      </c>
      <c r="O97">
        <v>119.59072241718016</v>
      </c>
      <c r="P97">
        <v>119.62660501602605</v>
      </c>
      <c r="Q97">
        <v>119.66249838126643</v>
      </c>
      <c r="R97">
        <v>119.69840251613175</v>
      </c>
      <c r="S97">
        <v>119.73431742385338</v>
      </c>
      <c r="T97">
        <v>119.77024310766366</v>
      </c>
      <c r="U97">
        <v>119.8061795707959</v>
      </c>
      <c r="V97">
        <v>119.84212681648438</v>
      </c>
      <c r="W97">
        <v>119.87808484796436</v>
      </c>
      <c r="X97">
        <v>119.91405366847206</v>
      </c>
      <c r="Y97">
        <v>119.9500332812447</v>
      </c>
      <c r="Z97">
        <v>119.98602368952035</v>
      </c>
      <c r="AA97">
        <v>120.02202489653827</v>
      </c>
      <c r="AB97">
        <v>120.05803690553847</v>
      </c>
      <c r="AC97">
        <v>120.09405971976207</v>
      </c>
      <c r="AD97">
        <v>120.13009334245116</v>
      </c>
      <c r="AE97">
        <v>120.1661377768487</v>
      </c>
      <c r="AF97">
        <v>120.20219302619876</v>
      </c>
      <c r="AG97">
        <v>120.23825909374625</v>
      </c>
      <c r="AH97">
        <v>120.27433598273714</v>
      </c>
      <c r="AI97">
        <v>120.31042369641834</v>
      </c>
      <c r="AJ97">
        <v>120.34652223803779</v>
      </c>
      <c r="AK97">
        <v>120.3826316108443</v>
      </c>
      <c r="AL97">
        <v>120.41875181808773</v>
      </c>
      <c r="AM97">
        <v>120.45488286301891</v>
      </c>
      <c r="AN97">
        <v>120.49102474888963</v>
      </c>
      <c r="AO97">
        <v>120.52717747895264</v>
      </c>
      <c r="AP97">
        <v>120.56334105646174</v>
      </c>
      <c r="AQ97">
        <v>120.59951548467161</v>
      </c>
    </row>
    <row r="98" spans="1:43" x14ac:dyDescent="0.25">
      <c r="E98">
        <v>115.13832718292322</v>
      </c>
      <c r="F98">
        <v>115.17287386282098</v>
      </c>
      <c r="G98">
        <v>115.20743090827747</v>
      </c>
      <c r="H98">
        <v>115.24199832240282</v>
      </c>
      <c r="I98">
        <v>115.27657610830809</v>
      </c>
      <c r="J98">
        <v>115.31116426910528</v>
      </c>
      <c r="K98">
        <v>115.34576280790733</v>
      </c>
      <c r="L98">
        <v>115.38037172782813</v>
      </c>
      <c r="M98">
        <v>115.41499103198245</v>
      </c>
      <c r="N98">
        <v>115.44962072348606</v>
      </c>
      <c r="O98">
        <v>115.48426080545559</v>
      </c>
      <c r="P98">
        <v>115.5189112810087</v>
      </c>
      <c r="Q98">
        <v>115.55357215326387</v>
      </c>
      <c r="R98">
        <v>115.58824342534062</v>
      </c>
      <c r="S98">
        <v>115.62292510035937</v>
      </c>
      <c r="T98">
        <v>115.65761718144144</v>
      </c>
      <c r="U98">
        <v>115.69231967170914</v>
      </c>
      <c r="V98">
        <v>115.72703257428569</v>
      </c>
      <c r="W98">
        <v>115.76175589229524</v>
      </c>
      <c r="X98">
        <v>115.79648962886291</v>
      </c>
      <c r="Y98">
        <v>115.83123378711475</v>
      </c>
      <c r="Z98">
        <v>115.86598837017766</v>
      </c>
      <c r="AA98">
        <v>115.90075338117964</v>
      </c>
      <c r="AB98">
        <v>115.93552882324947</v>
      </c>
      <c r="AC98">
        <v>115.97031469951696</v>
      </c>
      <c r="AD98">
        <v>116.0051110131129</v>
      </c>
      <c r="AE98">
        <v>116.03991776716887</v>
      </c>
      <c r="AF98">
        <v>116.07473496481755</v>
      </c>
      <c r="AG98">
        <v>116.10956260919244</v>
      </c>
      <c r="AH98">
        <v>116.14440070342805</v>
      </c>
      <c r="AI98">
        <v>116.17924925065978</v>
      </c>
      <c r="AJ98">
        <v>116.21410825402405</v>
      </c>
      <c r="AK98">
        <v>116.24897771665813</v>
      </c>
      <c r="AL98">
        <v>116.28385764170028</v>
      </c>
      <c r="AM98">
        <v>116.3187480322897</v>
      </c>
      <c r="AN98">
        <v>116.35364889156652</v>
      </c>
      <c r="AO98">
        <v>116.3885602226718</v>
      </c>
      <c r="AP98">
        <v>116.42348202874761</v>
      </c>
      <c r="AQ98">
        <v>116.45841431293688</v>
      </c>
    </row>
    <row r="99" spans="1:43" x14ac:dyDescent="0.25">
      <c r="D99">
        <v>111.15139983547361</v>
      </c>
      <c r="E99">
        <v>111.18475025773746</v>
      </c>
      <c r="F99">
        <v>111.21811068662892</v>
      </c>
      <c r="G99">
        <v>111.25148112515041</v>
      </c>
      <c r="H99">
        <v>111.28486157630527</v>
      </c>
      <c r="I99">
        <v>111.31825204309776</v>
      </c>
      <c r="J99">
        <v>111.35165252853298</v>
      </c>
      <c r="K99">
        <v>111.38506303561702</v>
      </c>
      <c r="L99">
        <v>111.41848356735682</v>
      </c>
      <c r="M99">
        <v>111.4519141267602</v>
      </c>
      <c r="N99">
        <v>111.48535471683594</v>
      </c>
      <c r="O99">
        <v>111.51880534059367</v>
      </c>
      <c r="P99">
        <v>111.55226600104398</v>
      </c>
      <c r="Q99">
        <v>111.58573670119827</v>
      </c>
      <c r="R99">
        <v>111.61921744406895</v>
      </c>
      <c r="S99">
        <v>111.65270823266928</v>
      </c>
      <c r="T99">
        <v>111.68620907001342</v>
      </c>
      <c r="U99">
        <v>111.71971995911646</v>
      </c>
      <c r="V99">
        <v>111.75324090299436</v>
      </c>
      <c r="W99">
        <v>111.78677190466402</v>
      </c>
      <c r="X99">
        <v>111.82031296714324</v>
      </c>
      <c r="Y99">
        <v>111.85386409345071</v>
      </c>
      <c r="Z99">
        <v>111.88742528660599</v>
      </c>
      <c r="AA99">
        <v>111.92099654962965</v>
      </c>
      <c r="AB99">
        <v>111.95457788554305</v>
      </c>
      <c r="AC99">
        <v>111.98816929736853</v>
      </c>
      <c r="AD99">
        <v>112.02177078812934</v>
      </c>
      <c r="AE99">
        <v>112.05538236084959</v>
      </c>
      <c r="AF99">
        <v>112.08900401855435</v>
      </c>
      <c r="AG99">
        <v>112.12263576426953</v>
      </c>
      <c r="AH99">
        <v>112.15627760102201</v>
      </c>
      <c r="AI99">
        <v>112.18992953183954</v>
      </c>
      <c r="AJ99">
        <v>112.22359155975082</v>
      </c>
      <c r="AK99">
        <v>112.25726368778541</v>
      </c>
      <c r="AL99">
        <v>112.2909459189738</v>
      </c>
      <c r="AM99">
        <v>112.32463825634741</v>
      </c>
      <c r="AN99">
        <v>112.35834070293853</v>
      </c>
      <c r="AO99">
        <v>112.39205326178038</v>
      </c>
      <c r="AP99">
        <v>112.42577593590711</v>
      </c>
      <c r="AQ99">
        <v>112.45950872835377</v>
      </c>
    </row>
    <row r="100" spans="1:43" x14ac:dyDescent="0.25">
      <c r="C100">
        <v>107.30252894639679</v>
      </c>
      <c r="D100">
        <v>107.33472453417741</v>
      </c>
      <c r="E100">
        <v>107.3669297820833</v>
      </c>
      <c r="F100">
        <v>107.39914469301297</v>
      </c>
      <c r="G100">
        <v>107.43136926986571</v>
      </c>
      <c r="H100">
        <v>107.46360351554176</v>
      </c>
      <c r="I100">
        <v>107.49584743294221</v>
      </c>
      <c r="J100">
        <v>107.52810102496898</v>
      </c>
      <c r="K100">
        <v>107.56036429452493</v>
      </c>
      <c r="L100">
        <v>107.59263724451374</v>
      </c>
      <c r="M100">
        <v>107.62491987783997</v>
      </c>
      <c r="N100">
        <v>107.65721219740907</v>
      </c>
      <c r="O100">
        <v>107.68951420612733</v>
      </c>
      <c r="P100">
        <v>107.72182590690196</v>
      </c>
      <c r="Q100">
        <v>107.75414730264097</v>
      </c>
      <c r="R100">
        <v>107.78647839625332</v>
      </c>
      <c r="S100">
        <v>107.8188191906488</v>
      </c>
      <c r="T100">
        <v>107.85116968873807</v>
      </c>
      <c r="U100">
        <v>107.88352989343269</v>
      </c>
      <c r="V100">
        <v>107.91589980764508</v>
      </c>
      <c r="W100">
        <v>107.94827943428851</v>
      </c>
      <c r="X100">
        <v>107.98066877627718</v>
      </c>
      <c r="Y100">
        <v>108.01306783652612</v>
      </c>
      <c r="Z100">
        <v>108.04547661795121</v>
      </c>
      <c r="AA100">
        <v>108.07789512346929</v>
      </c>
      <c r="AB100">
        <v>108.11032335599798</v>
      </c>
      <c r="AC100">
        <v>108.14276131845585</v>
      </c>
      <c r="AD100">
        <v>108.17520901376233</v>
      </c>
      <c r="AE100">
        <v>108.20766644483767</v>
      </c>
      <c r="AF100">
        <v>108.2401336146031</v>
      </c>
      <c r="AG100">
        <v>108.2726105259806</v>
      </c>
      <c r="AH100">
        <v>108.30509718189313</v>
      </c>
      <c r="AI100">
        <v>108.33759358526447</v>
      </c>
      <c r="AJ100">
        <v>108.37009973901932</v>
      </c>
      <c r="AK100">
        <v>108.40261564608322</v>
      </c>
      <c r="AL100">
        <v>108.4351413093826</v>
      </c>
      <c r="AM100">
        <v>108.46767673184476</v>
      </c>
      <c r="AN100">
        <v>108.5002219163979</v>
      </c>
      <c r="AO100">
        <v>108.53277686597109</v>
      </c>
      <c r="AP100">
        <v>108.56534158349427</v>
      </c>
      <c r="AQ100">
        <v>108.59791607189828</v>
      </c>
    </row>
    <row r="101" spans="1:43" x14ac:dyDescent="0.25">
      <c r="B101">
        <v>103.58693399574909</v>
      </c>
      <c r="C101">
        <v>103.61801473782602</v>
      </c>
      <c r="D101">
        <v>103.64910480552435</v>
      </c>
      <c r="E101">
        <v>103.68020420164217</v>
      </c>
      <c r="F101">
        <v>103.71131292897846</v>
      </c>
      <c r="G101">
        <v>103.74243099033296</v>
      </c>
      <c r="H101">
        <v>103.77355838850633</v>
      </c>
      <c r="I101">
        <v>103.80469512630003</v>
      </c>
      <c r="J101">
        <v>103.83584120651635</v>
      </c>
      <c r="K101">
        <v>103.86699663195846</v>
      </c>
      <c r="L101">
        <v>103.89816140543033</v>
      </c>
      <c r="M101">
        <v>103.92933552973679</v>
      </c>
      <c r="N101">
        <v>103.96051900768353</v>
      </c>
      <c r="O101">
        <v>103.99171184207705</v>
      </c>
      <c r="P101">
        <v>104.02291403572471</v>
      </c>
      <c r="Q101">
        <v>104.0541255914347</v>
      </c>
      <c r="R101">
        <v>104.08534651201605</v>
      </c>
      <c r="S101">
        <v>104.11657680027866</v>
      </c>
      <c r="T101">
        <v>104.14781645903325</v>
      </c>
      <c r="U101">
        <v>104.17906549109141</v>
      </c>
      <c r="V101">
        <v>104.21032389926552</v>
      </c>
      <c r="W101">
        <v>104.24159168636885</v>
      </c>
      <c r="X101">
        <v>104.27286885521552</v>
      </c>
      <c r="Y101">
        <v>104.30415540862045</v>
      </c>
      <c r="Z101">
        <v>104.33545134939942</v>
      </c>
      <c r="AA101">
        <v>104.36675668036909</v>
      </c>
      <c r="AB101">
        <v>104.39807140434692</v>
      </c>
      <c r="AC101">
        <v>104.42939552415126</v>
      </c>
      <c r="AD101">
        <v>104.46072904260127</v>
      </c>
      <c r="AE101">
        <v>104.49207196251696</v>
      </c>
      <c r="AF101">
        <v>104.52342428671921</v>
      </c>
      <c r="AG101">
        <v>104.5547860180297</v>
      </c>
      <c r="AH101">
        <v>104.58615715927101</v>
      </c>
      <c r="AI101">
        <v>104.61753771326653</v>
      </c>
      <c r="AJ101">
        <v>104.64892768284052</v>
      </c>
      <c r="AK101">
        <v>104.68032707081808</v>
      </c>
      <c r="AL101">
        <v>104.71173588002515</v>
      </c>
      <c r="AM101">
        <v>104.7431541132885</v>
      </c>
      <c r="AN101">
        <v>104.7745817734358</v>
      </c>
      <c r="AO101">
        <v>104.80601886329552</v>
      </c>
      <c r="AP101">
        <v>104.83746538569702</v>
      </c>
      <c r="AQ101">
        <v>104.86892134347048</v>
      </c>
    </row>
    <row r="102" spans="1:43" x14ac:dyDescent="0.25">
      <c r="A102">
        <v>100</v>
      </c>
      <c r="B102">
        <v>100.03000450045003</v>
      </c>
      <c r="C102">
        <v>100.06001800360053</v>
      </c>
      <c r="D102">
        <v>100.09004051215273</v>
      </c>
      <c r="E102">
        <v>100.12007202880864</v>
      </c>
      <c r="F102">
        <v>100.1501125562711</v>
      </c>
      <c r="G102">
        <v>100.18016209724375</v>
      </c>
      <c r="H102">
        <v>100.21022065443105</v>
      </c>
      <c r="I102">
        <v>100.2402882305383</v>
      </c>
      <c r="J102">
        <v>100.27036482827154</v>
      </c>
      <c r="K102">
        <v>100.30045045033769</v>
      </c>
      <c r="L102">
        <v>100.33054509944445</v>
      </c>
      <c r="M102">
        <v>100.36064877830033</v>
      </c>
      <c r="N102">
        <v>100.39076148961468</v>
      </c>
      <c r="O102">
        <v>100.42088323609762</v>
      </c>
      <c r="P102">
        <v>100.45101402046012</v>
      </c>
      <c r="Q102">
        <v>100.48115384541396</v>
      </c>
      <c r="R102">
        <v>100.5113027136717</v>
      </c>
      <c r="S102">
        <v>100.54146062794675</v>
      </c>
      <c r="T102">
        <v>100.57162759095333</v>
      </c>
      <c r="U102">
        <v>100.60180360540646</v>
      </c>
      <c r="V102">
        <v>100.63198867402198</v>
      </c>
      <c r="W102">
        <v>100.66218279951656</v>
      </c>
      <c r="X102">
        <v>100.69238598460765</v>
      </c>
      <c r="Y102">
        <v>100.72259823201355</v>
      </c>
      <c r="Z102">
        <v>100.75281954445336</v>
      </c>
      <c r="AA102">
        <v>100.78304992464699</v>
      </c>
      <c r="AB102">
        <v>100.81328937531518</v>
      </c>
      <c r="AC102">
        <v>100.84353789917948</v>
      </c>
      <c r="AD102">
        <v>100.87379549896227</v>
      </c>
      <c r="AE102">
        <v>100.90406217738672</v>
      </c>
      <c r="AF102">
        <v>100.93433793717683</v>
      </c>
      <c r="AG102">
        <v>100.96462278105743</v>
      </c>
      <c r="AH102">
        <v>100.99491671175414</v>
      </c>
      <c r="AI102">
        <v>101.02521973199343</v>
      </c>
      <c r="AJ102">
        <v>101.05553184450257</v>
      </c>
      <c r="AK102">
        <v>101.08585305200964</v>
      </c>
      <c r="AL102">
        <v>101.11618335724354</v>
      </c>
      <c r="AM102">
        <v>101.14652276293403</v>
      </c>
      <c r="AN102">
        <v>101.17687127181162</v>
      </c>
      <c r="AO102">
        <v>101.20722888660769</v>
      </c>
      <c r="AP102">
        <v>101.23759561005444</v>
      </c>
      <c r="AQ102">
        <v>101.26797144488486</v>
      </c>
    </row>
    <row r="103" spans="1:43" x14ac:dyDescent="0.25">
      <c r="B103">
        <v>96.595211523208818</v>
      </c>
      <c r="C103">
        <v>96.624194433884995</v>
      </c>
      <c r="D103">
        <v>96.65318604073876</v>
      </c>
      <c r="E103">
        <v>96.682186346379325</v>
      </c>
      <c r="F103">
        <v>96.711195353416727</v>
      </c>
      <c r="G103">
        <v>96.740213064461784</v>
      </c>
      <c r="H103">
        <v>96.769239482126054</v>
      </c>
      <c r="I103">
        <v>96.798274609021973</v>
      </c>
      <c r="J103">
        <v>96.82731844776265</v>
      </c>
      <c r="K103">
        <v>96.856371000962071</v>
      </c>
      <c r="L103">
        <v>96.885432271234947</v>
      </c>
      <c r="M103">
        <v>96.914502261196773</v>
      </c>
      <c r="N103">
        <v>96.943580973463895</v>
      </c>
      <c r="O103">
        <v>96.972668410653355</v>
      </c>
      <c r="P103">
        <v>97.001764575383035</v>
      </c>
      <c r="Q103">
        <v>97.030869470271597</v>
      </c>
      <c r="R103">
        <v>97.059983097938471</v>
      </c>
      <c r="S103">
        <v>97.089105461003896</v>
      </c>
      <c r="T103">
        <v>97.118236562088867</v>
      </c>
      <c r="U103">
        <v>97.147376403815201</v>
      </c>
      <c r="V103">
        <v>97.176524988805483</v>
      </c>
      <c r="W103">
        <v>97.205682319683078</v>
      </c>
      <c r="X103">
        <v>97.234848399072149</v>
      </c>
      <c r="Y103">
        <v>97.264023229597626</v>
      </c>
      <c r="Z103">
        <v>97.293206813885277</v>
      </c>
      <c r="AA103">
        <v>97.322399154561595</v>
      </c>
      <c r="AB103">
        <v>97.351600254253896</v>
      </c>
      <c r="AC103">
        <v>97.380810115590293</v>
      </c>
      <c r="AD103">
        <v>97.410028741199667</v>
      </c>
      <c r="AE103">
        <v>97.439256133711694</v>
      </c>
      <c r="AF103">
        <v>97.468492295756846</v>
      </c>
      <c r="AG103">
        <v>97.497737229966361</v>
      </c>
      <c r="AH103">
        <v>97.52699093897229</v>
      </c>
      <c r="AI103">
        <v>97.556253425407476</v>
      </c>
      <c r="AJ103">
        <v>97.585524691905547</v>
      </c>
      <c r="AK103">
        <v>97.614804741100897</v>
      </c>
      <c r="AL103">
        <v>97.644093575628744</v>
      </c>
      <c r="AM103">
        <v>97.673391198125074</v>
      </c>
      <c r="AN103">
        <v>97.702697611226668</v>
      </c>
      <c r="AO103">
        <v>97.732012817571118</v>
      </c>
      <c r="AP103">
        <v>97.761336819796796</v>
      </c>
      <c r="AQ103">
        <v>97.790669620542857</v>
      </c>
    </row>
    <row r="104" spans="1:43" x14ac:dyDescent="0.25">
      <c r="C104">
        <v>93.306348892134523</v>
      </c>
      <c r="D104">
        <v>93.334344996007772</v>
      </c>
      <c r="E104">
        <v>93.36234949997214</v>
      </c>
      <c r="F104">
        <v>93.390362406548022</v>
      </c>
      <c r="G104">
        <v>93.418383718256592</v>
      </c>
      <c r="H104">
        <v>93.446413437619725</v>
      </c>
      <c r="I104">
        <v>93.474451567160173</v>
      </c>
      <c r="J104">
        <v>93.502498109401301</v>
      </c>
      <c r="K104">
        <v>93.530553066867327</v>
      </c>
      <c r="L104">
        <v>93.558616442083206</v>
      </c>
      <c r="M104">
        <v>93.586688237574606</v>
      </c>
      <c r="N104">
        <v>93.614768455868031</v>
      </c>
      <c r="O104">
        <v>93.642857099490669</v>
      </c>
      <c r="P104">
        <v>93.670954170970504</v>
      </c>
      <c r="Q104">
        <v>93.699059672836285</v>
      </c>
      <c r="R104">
        <v>93.727173607617488</v>
      </c>
      <c r="S104">
        <v>93.755295977844398</v>
      </c>
      <c r="T104">
        <v>93.783426786047983</v>
      </c>
      <c r="U104">
        <v>93.811566034760062</v>
      </c>
      <c r="V104">
        <v>93.839713726513139</v>
      </c>
      <c r="W104">
        <v>93.867869863840525</v>
      </c>
      <c r="X104">
        <v>93.896034449276272</v>
      </c>
      <c r="Y104">
        <v>93.924207485355154</v>
      </c>
      <c r="Z104">
        <v>93.952388974612788</v>
      </c>
      <c r="AA104">
        <v>93.980578919585483</v>
      </c>
      <c r="AB104">
        <v>94.008777322810346</v>
      </c>
      <c r="AC104">
        <v>94.036984186825237</v>
      </c>
      <c r="AD104">
        <v>94.065199514168768</v>
      </c>
      <c r="AE104">
        <v>94.09342330738032</v>
      </c>
      <c r="AF104">
        <v>94.12165556900004</v>
      </c>
      <c r="AG104">
        <v>94.149896301568802</v>
      </c>
      <c r="AH104">
        <v>94.178145507628315</v>
      </c>
      <c r="AI104">
        <v>94.206403189720973</v>
      </c>
      <c r="AJ104">
        <v>94.234669350390007</v>
      </c>
      <c r="AK104">
        <v>94.262943992179331</v>
      </c>
      <c r="AL104">
        <v>94.291227117633682</v>
      </c>
      <c r="AM104">
        <v>94.319518729298537</v>
      </c>
      <c r="AN104">
        <v>94.347818829720126</v>
      </c>
      <c r="AO104">
        <v>94.376127421445474</v>
      </c>
      <c r="AP104">
        <v>94.404444507022376</v>
      </c>
      <c r="AQ104">
        <v>94.432770088999348</v>
      </c>
    </row>
    <row r="105" spans="1:43" x14ac:dyDescent="0.25">
      <c r="D105">
        <v>90.129465076940548</v>
      </c>
      <c r="E105">
        <v>90.156507972695181</v>
      </c>
      <c r="F105">
        <v>90.183558982535573</v>
      </c>
      <c r="G105">
        <v>90.210618108896355</v>
      </c>
      <c r="H105">
        <v>90.2376853542128</v>
      </c>
      <c r="I105">
        <v>90.264760720921018</v>
      </c>
      <c r="J105">
        <v>90.291844211457743</v>
      </c>
      <c r="K105">
        <v>90.318935828260507</v>
      </c>
      <c r="L105">
        <v>90.34603557376758</v>
      </c>
      <c r="M105">
        <v>90.373143450417885</v>
      </c>
      <c r="N105">
        <v>90.400259460651185</v>
      </c>
      <c r="O105">
        <v>90.427383606907881</v>
      </c>
      <c r="P105">
        <v>90.454515891629171</v>
      </c>
      <c r="Q105">
        <v>90.481656317256949</v>
      </c>
      <c r="R105">
        <v>90.508804886233847</v>
      </c>
      <c r="S105">
        <v>90.535961601003265</v>
      </c>
      <c r="T105">
        <v>90.563126464009272</v>
      </c>
      <c r="U105">
        <v>90.590299477696732</v>
      </c>
      <c r="V105">
        <v>90.61748064451119</v>
      </c>
      <c r="W105">
        <v>90.644669966898988</v>
      </c>
      <c r="X105">
        <v>90.67186744730715</v>
      </c>
      <c r="Y105">
        <v>90.699073088183425</v>
      </c>
      <c r="Z105">
        <v>90.726286891976343</v>
      </c>
      <c r="AA105">
        <v>90.753508861135131</v>
      </c>
      <c r="AB105">
        <v>90.780738998109783</v>
      </c>
      <c r="AC105">
        <v>90.807977305351017</v>
      </c>
      <c r="AD105">
        <v>90.835223785310262</v>
      </c>
      <c r="AE105">
        <v>90.862478440439716</v>
      </c>
      <c r="AF105">
        <v>90.889741273192286</v>
      </c>
      <c r="AG105">
        <v>90.917012286021617</v>
      </c>
      <c r="AH105">
        <v>90.944291481382137</v>
      </c>
      <c r="AI105">
        <v>90.971578861728943</v>
      </c>
      <c r="AJ105">
        <v>90.998874429517926</v>
      </c>
      <c r="AK105">
        <v>91.026178187205659</v>
      </c>
      <c r="AL105">
        <v>91.053490137249483</v>
      </c>
      <c r="AM105">
        <v>91.080810282107493</v>
      </c>
      <c r="AN105">
        <v>91.108138624238464</v>
      </c>
      <c r="AO105">
        <v>91.135475166101983</v>
      </c>
      <c r="AP105">
        <v>91.162819910158348</v>
      </c>
      <c r="AQ105">
        <v>91.190172858868564</v>
      </c>
    </row>
    <row r="106" spans="1:43" x14ac:dyDescent="0.25">
      <c r="E106">
        <v>87.060747435807357</v>
      </c>
      <c r="F106">
        <v>87.086869578163515</v>
      </c>
      <c r="G106">
        <v>87.112999558338032</v>
      </c>
      <c r="H106">
        <v>87.139137378682534</v>
      </c>
      <c r="I106">
        <v>87.165283041549486</v>
      </c>
      <c r="J106">
        <v>87.191436549291964</v>
      </c>
      <c r="K106">
        <v>87.217597904263769</v>
      </c>
      <c r="L106">
        <v>87.243767108819483</v>
      </c>
      <c r="M106">
        <v>87.269944165314271</v>
      </c>
      <c r="N106">
        <v>87.296129076104094</v>
      </c>
      <c r="O106">
        <v>87.322321843545595</v>
      </c>
      <c r="P106">
        <v>87.348522469996126</v>
      </c>
      <c r="Q106">
        <v>87.374730957813725</v>
      </c>
      <c r="R106">
        <v>87.400947309357164</v>
      </c>
      <c r="S106">
        <v>87.427171526985944</v>
      </c>
      <c r="T106">
        <v>87.453403613060203</v>
      </c>
      <c r="U106">
        <v>87.479643569940862</v>
      </c>
      <c r="V106">
        <v>87.50589139998948</v>
      </c>
      <c r="W106">
        <v>87.532147105568399</v>
      </c>
      <c r="X106">
        <v>87.558410689040628</v>
      </c>
      <c r="Y106">
        <v>87.584682152769858</v>
      </c>
      <c r="Z106">
        <v>87.610961499120535</v>
      </c>
      <c r="AA106">
        <v>87.637248730457813</v>
      </c>
      <c r="AB106">
        <v>87.66354384914753</v>
      </c>
      <c r="AC106">
        <v>87.689846857556262</v>
      </c>
      <c r="AD106">
        <v>87.716157758051267</v>
      </c>
      <c r="AE106">
        <v>87.742476553000529</v>
      </c>
      <c r="AF106">
        <v>87.768803244772741</v>
      </c>
      <c r="AG106">
        <v>87.795137835737293</v>
      </c>
      <c r="AH106">
        <v>87.821480328264329</v>
      </c>
      <c r="AI106">
        <v>87.847830724724645</v>
      </c>
      <c r="AJ106">
        <v>87.874189027489805</v>
      </c>
      <c r="AK106">
        <v>87.900555238932029</v>
      </c>
      <c r="AL106">
        <v>87.926929361424271</v>
      </c>
      <c r="AM106">
        <v>87.953311397340215</v>
      </c>
      <c r="AN106">
        <v>87.979701349054238</v>
      </c>
      <c r="AO106">
        <v>88.006099218941443</v>
      </c>
      <c r="AP106">
        <v>88.032505009377658</v>
      </c>
      <c r="AQ106">
        <v>88.058918722739392</v>
      </c>
    </row>
    <row r="107" spans="1:43" x14ac:dyDescent="0.25">
      <c r="F107">
        <v>84.09651313930469</v>
      </c>
      <c r="G107">
        <v>84.121745877968053</v>
      </c>
      <c r="H107">
        <v>84.146986187588567</v>
      </c>
      <c r="I107">
        <v>84.172234070437923</v>
      </c>
      <c r="J107">
        <v>84.197489528788395</v>
      </c>
      <c r="K107">
        <v>84.222752564912952</v>
      </c>
      <c r="L107">
        <v>84.248023181085344</v>
      </c>
      <c r="M107">
        <v>84.273301379579863</v>
      </c>
      <c r="N107">
        <v>84.298587162671552</v>
      </c>
      <c r="O107">
        <v>84.323880532636139</v>
      </c>
      <c r="P107">
        <v>84.349181491750045</v>
      </c>
      <c r="Q107">
        <v>84.374490042290333</v>
      </c>
      <c r="R107">
        <v>84.399806186534775</v>
      </c>
      <c r="S107">
        <v>84.425129926761841</v>
      </c>
      <c r="T107">
        <v>84.450461265250652</v>
      </c>
      <c r="U107">
        <v>84.475800204281057</v>
      </c>
      <c r="V107">
        <v>84.5011467461335</v>
      </c>
      <c r="W107">
        <v>84.526500893089235</v>
      </c>
      <c r="X107">
        <v>84.551862647430113</v>
      </c>
      <c r="Y107">
        <v>84.577232011438667</v>
      </c>
      <c r="Z107">
        <v>84.602608987398156</v>
      </c>
      <c r="AA107">
        <v>84.62799357759252</v>
      </c>
      <c r="AB107">
        <v>84.653385784306352</v>
      </c>
      <c r="AC107">
        <v>84.67878560982497</v>
      </c>
      <c r="AD107">
        <v>84.704193056434349</v>
      </c>
      <c r="AE107">
        <v>84.729608126421155</v>
      </c>
      <c r="AF107">
        <v>84.755030822072754</v>
      </c>
      <c r="AG107">
        <v>84.78046114567718</v>
      </c>
      <c r="AH107">
        <v>84.805899099523174</v>
      </c>
      <c r="AI107">
        <v>84.831344685900149</v>
      </c>
      <c r="AJ107">
        <v>84.856797907098212</v>
      </c>
      <c r="AK107">
        <v>84.882258765408139</v>
      </c>
      <c r="AL107">
        <v>84.907727263121402</v>
      </c>
      <c r="AM107">
        <v>84.933203402530168</v>
      </c>
      <c r="AN107">
        <v>84.958687185927303</v>
      </c>
      <c r="AO107">
        <v>84.984178615606325</v>
      </c>
      <c r="AP107">
        <v>85.009677693861519</v>
      </c>
      <c r="AQ107">
        <v>85.035184422987768</v>
      </c>
    </row>
    <row r="108" spans="1:43" x14ac:dyDescent="0.25">
      <c r="G108">
        <v>81.233204750554478</v>
      </c>
      <c r="H108">
        <v>81.257578367839415</v>
      </c>
      <c r="I108">
        <v>81.281959298306489</v>
      </c>
      <c r="J108">
        <v>81.306347544149958</v>
      </c>
      <c r="K108">
        <v>81.330743107564714</v>
      </c>
      <c r="L108">
        <v>81.355145990746465</v>
      </c>
      <c r="M108">
        <v>81.379556195891396</v>
      </c>
      <c r="N108">
        <v>81.403973725196423</v>
      </c>
      <c r="O108">
        <v>81.428398580859124</v>
      </c>
      <c r="P108">
        <v>81.452830765077778</v>
      </c>
      <c r="Q108">
        <v>81.477270280051258</v>
      </c>
      <c r="R108">
        <v>81.501717127979092</v>
      </c>
      <c r="S108">
        <v>81.526171311061546</v>
      </c>
      <c r="T108">
        <v>81.550632831499456</v>
      </c>
      <c r="U108">
        <v>81.57510169149441</v>
      </c>
      <c r="V108">
        <v>81.599577893248536</v>
      </c>
      <c r="W108">
        <v>81.624061438964745</v>
      </c>
      <c r="X108">
        <v>81.648552330846542</v>
      </c>
      <c r="Y108">
        <v>81.673050571098102</v>
      </c>
      <c r="Z108">
        <v>81.697556161924254</v>
      </c>
      <c r="AA108">
        <v>81.722069105530522</v>
      </c>
      <c r="AB108">
        <v>81.746589404123057</v>
      </c>
      <c r="AC108">
        <v>81.771117059908704</v>
      </c>
      <c r="AD108">
        <v>81.795652075094935</v>
      </c>
      <c r="AE108">
        <v>81.820194451889904</v>
      </c>
      <c r="AF108">
        <v>81.844744192502432</v>
      </c>
      <c r="AG108">
        <v>81.869301299141995</v>
      </c>
      <c r="AH108">
        <v>81.893865774018735</v>
      </c>
      <c r="AI108">
        <v>81.91843761934345</v>
      </c>
      <c r="AJ108">
        <v>81.943016837327619</v>
      </c>
      <c r="AK108">
        <v>81.96760343018336</v>
      </c>
      <c r="AL108">
        <v>81.992197400123445</v>
      </c>
      <c r="AM108">
        <v>82.016798749361342</v>
      </c>
      <c r="AN108">
        <v>82.041407480111204</v>
      </c>
      <c r="AO108">
        <v>82.066023594587762</v>
      </c>
      <c r="AP108">
        <v>82.090647095006545</v>
      </c>
      <c r="AQ108">
        <v>82.115277983583624</v>
      </c>
    </row>
    <row r="109" spans="1:43" x14ac:dyDescent="0.25">
      <c r="H109">
        <v>78.467385955879394</v>
      </c>
      <c r="I109">
        <v>78.490929703051663</v>
      </c>
      <c r="J109">
        <v>78.514480514407666</v>
      </c>
      <c r="K109">
        <v>78.538038392066909</v>
      </c>
      <c r="L109">
        <v>78.561603338149737</v>
      </c>
      <c r="M109">
        <v>78.585175354776894</v>
      </c>
      <c r="N109">
        <v>78.608754444069874</v>
      </c>
      <c r="O109">
        <v>78.632340608150798</v>
      </c>
      <c r="P109">
        <v>78.655933849142443</v>
      </c>
      <c r="Q109">
        <v>78.679534169168193</v>
      </c>
      <c r="R109">
        <v>78.703141570352045</v>
      </c>
      <c r="S109">
        <v>78.726756054818722</v>
      </c>
      <c r="T109">
        <v>78.750377624693471</v>
      </c>
      <c r="U109">
        <v>78.774006282102292</v>
      </c>
      <c r="V109">
        <v>78.797642029171712</v>
      </c>
      <c r="W109">
        <v>78.821284868028968</v>
      </c>
      <c r="X109">
        <v>78.844934800801923</v>
      </c>
      <c r="Y109">
        <v>78.868591829619064</v>
      </c>
      <c r="Z109">
        <v>78.892255956609503</v>
      </c>
      <c r="AA109">
        <v>78.915927183903051</v>
      </c>
      <c r="AB109">
        <v>78.939605513630084</v>
      </c>
      <c r="AC109">
        <v>78.963290947921678</v>
      </c>
      <c r="AD109">
        <v>78.986983488909502</v>
      </c>
      <c r="AE109">
        <v>79.010683138725881</v>
      </c>
      <c r="AF109">
        <v>79.034389899503807</v>
      </c>
      <c r="AG109">
        <v>79.058103773376885</v>
      </c>
      <c r="AH109">
        <v>79.081824762479357</v>
      </c>
      <c r="AI109">
        <v>79.105552868946106</v>
      </c>
      <c r="AJ109">
        <v>79.129288094912681</v>
      </c>
      <c r="AK109">
        <v>79.153030442515245</v>
      </c>
      <c r="AL109">
        <v>79.17677991389057</v>
      </c>
      <c r="AM109">
        <v>79.200536511176153</v>
      </c>
      <c r="AN109">
        <v>79.224300236510075</v>
      </c>
      <c r="AO109">
        <v>79.248071092031054</v>
      </c>
      <c r="AP109">
        <v>79.271849079878521</v>
      </c>
      <c r="AQ109">
        <v>79.29563420219246</v>
      </c>
    </row>
    <row r="110" spans="1:43" x14ac:dyDescent="0.25">
      <c r="I110">
        <v>75.795737440814349</v>
      </c>
      <c r="J110">
        <v>75.818479573195901</v>
      </c>
      <c r="K110">
        <v>75.84122852924061</v>
      </c>
      <c r="L110">
        <v>75.863984310996017</v>
      </c>
      <c r="M110">
        <v>75.886746920510021</v>
      </c>
      <c r="N110">
        <v>75.909516359831301</v>
      </c>
      <c r="O110">
        <v>75.932292631009091</v>
      </c>
      <c r="P110">
        <v>75.955075736093278</v>
      </c>
      <c r="Q110">
        <v>75.977865677134346</v>
      </c>
      <c r="R110">
        <v>76.000662456183349</v>
      </c>
      <c r="S110">
        <v>76.023466075292049</v>
      </c>
      <c r="T110">
        <v>76.046276536512735</v>
      </c>
      <c r="U110">
        <v>76.069093841898379</v>
      </c>
      <c r="V110">
        <v>76.091917993502506</v>
      </c>
      <c r="W110">
        <v>76.114748993379308</v>
      </c>
      <c r="X110">
        <v>76.137586843583563</v>
      </c>
      <c r="Y110">
        <v>76.160431546170699</v>
      </c>
      <c r="Z110">
        <v>76.1832831031967</v>
      </c>
      <c r="AA110">
        <v>76.206141516718262</v>
      </c>
      <c r="AB110">
        <v>76.229006788792589</v>
      </c>
      <c r="AC110">
        <v>76.251878921477584</v>
      </c>
      <c r="AD110">
        <v>76.274757916831732</v>
      </c>
      <c r="AE110">
        <v>76.297643776914143</v>
      </c>
      <c r="AF110">
        <v>76.320536503784538</v>
      </c>
      <c r="AG110">
        <v>76.343436099503279</v>
      </c>
      <c r="AH110">
        <v>76.366342566131337</v>
      </c>
      <c r="AI110">
        <v>76.389255905730252</v>
      </c>
      <c r="AJ110">
        <v>76.412176120362275</v>
      </c>
      <c r="AK110">
        <v>76.435103212090212</v>
      </c>
      <c r="AL110">
        <v>76.458037182977449</v>
      </c>
      <c r="AM110">
        <v>76.4809780350881</v>
      </c>
      <c r="AN110">
        <v>76.503925770486831</v>
      </c>
      <c r="AO110">
        <v>76.526880391238905</v>
      </c>
      <c r="AP110">
        <v>76.54984189941031</v>
      </c>
      <c r="AQ110">
        <v>76.572810297067534</v>
      </c>
    </row>
    <row r="111" spans="1:43" x14ac:dyDescent="0.25">
      <c r="J111">
        <v>73.215052906530616</v>
      </c>
      <c r="K111">
        <v>73.237020717409408</v>
      </c>
      <c r="L111">
        <v>73.258995119620195</v>
      </c>
      <c r="M111">
        <v>73.280976115140547</v>
      </c>
      <c r="N111">
        <v>73.302963705948812</v>
      </c>
      <c r="O111">
        <v>73.324957894023839</v>
      </c>
      <c r="P111">
        <v>73.346958681345129</v>
      </c>
      <c r="Q111">
        <v>73.368966069892764</v>
      </c>
      <c r="R111">
        <v>73.390980061647369</v>
      </c>
      <c r="S111">
        <v>73.413000658590263</v>
      </c>
      <c r="T111">
        <v>73.435027862703251</v>
      </c>
      <c r="U111">
        <v>73.457061675968802</v>
      </c>
      <c r="V111">
        <v>73.479102100369943</v>
      </c>
      <c r="W111">
        <v>73.501149137890337</v>
      </c>
      <c r="X111">
        <v>73.52320279051419</v>
      </c>
      <c r="Y111">
        <v>73.545263060226361</v>
      </c>
      <c r="Z111">
        <v>73.567329949012219</v>
      </c>
      <c r="AA111">
        <v>73.589403458857859</v>
      </c>
      <c r="AB111">
        <v>73.611483591749845</v>
      </c>
      <c r="AC111">
        <v>73.633570349675409</v>
      </c>
      <c r="AD111">
        <v>73.655663734622337</v>
      </c>
      <c r="AE111">
        <v>73.677763748579068</v>
      </c>
      <c r="AF111">
        <v>73.699870393534567</v>
      </c>
      <c r="AG111">
        <v>73.721983671478469</v>
      </c>
      <c r="AH111">
        <v>73.74410358440096</v>
      </c>
      <c r="AI111">
        <v>73.766230134292798</v>
      </c>
      <c r="AJ111">
        <v>73.788363323145433</v>
      </c>
      <c r="AK111">
        <v>73.810503152950815</v>
      </c>
      <c r="AL111">
        <v>73.832649625701492</v>
      </c>
      <c r="AM111">
        <v>73.854802743390707</v>
      </c>
      <c r="AN111">
        <v>73.876962508012227</v>
      </c>
      <c r="AO111">
        <v>73.89912892156039</v>
      </c>
      <c r="AP111">
        <v>73.921301986030244</v>
      </c>
      <c r="AQ111">
        <v>73.943481703417334</v>
      </c>
    </row>
    <row r="112" spans="1:43" x14ac:dyDescent="0.25">
      <c r="K112">
        <v>70.722235221892447</v>
      </c>
      <c r="L112">
        <v>70.743455075277922</v>
      </c>
      <c r="M112">
        <v>70.764681295574348</v>
      </c>
      <c r="N112">
        <v>70.78591388469215</v>
      </c>
      <c r="O112">
        <v>70.80715284454223</v>
      </c>
      <c r="P112">
        <v>70.828398177036121</v>
      </c>
      <c r="Q112">
        <v>70.849649884085906</v>
      </c>
      <c r="R112">
        <v>70.870907967604197</v>
      </c>
      <c r="S112">
        <v>70.892172429504299</v>
      </c>
      <c r="T112">
        <v>70.913443271699947</v>
      </c>
      <c r="U112">
        <v>70.934720496105541</v>
      </c>
      <c r="V112">
        <v>70.956004104636023</v>
      </c>
      <c r="W112">
        <v>70.977294099206929</v>
      </c>
      <c r="X112">
        <v>70.99859048173434</v>
      </c>
      <c r="Y112">
        <v>71.019893254134956</v>
      </c>
      <c r="Z112">
        <v>71.04120241832598</v>
      </c>
      <c r="AA112">
        <v>71.062517976225308</v>
      </c>
      <c r="AB112">
        <v>71.083839929751292</v>
      </c>
      <c r="AC112">
        <v>71.105168280822909</v>
      </c>
      <c r="AD112">
        <v>71.126503031359718</v>
      </c>
      <c r="AE112">
        <v>71.147844183281848</v>
      </c>
      <c r="AF112">
        <v>71.169191738509994</v>
      </c>
      <c r="AG112">
        <v>71.190545698965465</v>
      </c>
      <c r="AH112">
        <v>71.211906066570094</v>
      </c>
      <c r="AI112">
        <v>71.233272843246311</v>
      </c>
      <c r="AJ112">
        <v>71.254646030917144</v>
      </c>
      <c r="AK112">
        <v>71.276025631506187</v>
      </c>
      <c r="AL112">
        <v>71.297411646937533</v>
      </c>
      <c r="AM112">
        <v>71.318804079136001</v>
      </c>
      <c r="AN112">
        <v>71.340202930026891</v>
      </c>
      <c r="AO112">
        <v>71.361608201536058</v>
      </c>
      <c r="AP112">
        <v>71.383019895590053</v>
      </c>
      <c r="AQ112">
        <v>71.404438014115897</v>
      </c>
    </row>
    <row r="113" spans="12:43" x14ac:dyDescent="0.25">
      <c r="L113">
        <v>68.314292706528349</v>
      </c>
      <c r="M113">
        <v>68.334790068790909</v>
      </c>
      <c r="N113">
        <v>68.355293581184625</v>
      </c>
      <c r="O113">
        <v>68.375803245554806</v>
      </c>
      <c r="P113">
        <v>68.396319063747328</v>
      </c>
      <c r="Q113">
        <v>68.41684103760862</v>
      </c>
      <c r="R113">
        <v>68.437369168985626</v>
      </c>
      <c r="S113">
        <v>68.457903459725941</v>
      </c>
      <c r="T113">
        <v>68.478443911677601</v>
      </c>
      <c r="U113">
        <v>68.498990526689255</v>
      </c>
      <c r="V113">
        <v>68.519543306610103</v>
      </c>
      <c r="W113">
        <v>68.540102253289902</v>
      </c>
      <c r="X113">
        <v>68.560667368578933</v>
      </c>
      <c r="Y113">
        <v>68.581238654328089</v>
      </c>
      <c r="Z113">
        <v>68.601816112388747</v>
      </c>
      <c r="AA113">
        <v>68.622399744612935</v>
      </c>
      <c r="AB113">
        <v>68.642989552853123</v>
      </c>
      <c r="AC113">
        <v>68.663585538962423</v>
      </c>
      <c r="AD113">
        <v>68.684187704794468</v>
      </c>
      <c r="AE113">
        <v>68.704796052203449</v>
      </c>
      <c r="AF113">
        <v>68.725410583044109</v>
      </c>
      <c r="AG113">
        <v>68.74603129917179</v>
      </c>
      <c r="AH113">
        <v>68.766658202442329</v>
      </c>
      <c r="AI113">
        <v>68.787291294712148</v>
      </c>
      <c r="AJ113">
        <v>68.807930577838249</v>
      </c>
      <c r="AK113">
        <v>68.828576053678162</v>
      </c>
      <c r="AL113">
        <v>68.849227724089914</v>
      </c>
      <c r="AM113">
        <v>68.869885590932228</v>
      </c>
      <c r="AN113">
        <v>68.890549656064309</v>
      </c>
      <c r="AO113">
        <v>68.911219921345861</v>
      </c>
      <c r="AP113">
        <v>68.931896388637298</v>
      </c>
      <c r="AQ113">
        <v>68.952579059799461</v>
      </c>
    </row>
    <row r="114" spans="12:43" x14ac:dyDescent="0.25">
      <c r="M114">
        <v>65.988335540455068</v>
      </c>
      <c r="N114">
        <v>66.008135010889262</v>
      </c>
      <c r="O114">
        <v>66.027940422055664</v>
      </c>
      <c r="P114">
        <v>66.047751775736742</v>
      </c>
      <c r="Q114">
        <v>66.067569073715532</v>
      </c>
      <c r="R114">
        <v>66.087392317775553</v>
      </c>
      <c r="S114">
        <v>66.107221509700977</v>
      </c>
      <c r="T114">
        <v>66.127056651276362</v>
      </c>
      <c r="U114">
        <v>66.146897744286889</v>
      </c>
      <c r="V114">
        <v>66.166744790518251</v>
      </c>
      <c r="W114">
        <v>66.186597791756697</v>
      </c>
      <c r="X114">
        <v>66.206456749788984</v>
      </c>
      <c r="Y114">
        <v>66.226321666402427</v>
      </c>
      <c r="Z114">
        <v>66.246192543384851</v>
      </c>
      <c r="AA114">
        <v>66.266069382524677</v>
      </c>
      <c r="AB114">
        <v>66.285952185610768</v>
      </c>
      <c r="AC114">
        <v>66.305840954432597</v>
      </c>
      <c r="AD114">
        <v>66.325735690780164</v>
      </c>
      <c r="AE114">
        <v>66.345636396443993</v>
      </c>
      <c r="AF114">
        <v>66.365543073215122</v>
      </c>
      <c r="AG114">
        <v>66.385455722885197</v>
      </c>
      <c r="AH114">
        <v>66.405374347246322</v>
      </c>
      <c r="AI114">
        <v>66.425298948091182</v>
      </c>
      <c r="AJ114">
        <v>66.445229527213016</v>
      </c>
      <c r="AK114">
        <v>66.46516608640556</v>
      </c>
      <c r="AL114">
        <v>66.485108627463049</v>
      </c>
      <c r="AM114">
        <v>66.50505715218037</v>
      </c>
      <c r="AN114">
        <v>66.52501166235291</v>
      </c>
      <c r="AO114">
        <v>66.544972159776492</v>
      </c>
      <c r="AP114">
        <v>66.564938646247654</v>
      </c>
      <c r="AQ114">
        <v>66.584911123563359</v>
      </c>
    </row>
    <row r="115" spans="12:43" x14ac:dyDescent="0.25">
      <c r="N115">
        <v>63.741572295947343</v>
      </c>
      <c r="O115">
        <v>63.760697636293742</v>
      </c>
      <c r="P115">
        <v>63.779828715102958</v>
      </c>
      <c r="Q115">
        <v>63.798965534096816</v>
      </c>
      <c r="R115">
        <v>63.818108094997584</v>
      </c>
      <c r="S115">
        <v>63.837256399528172</v>
      </c>
      <c r="T115">
        <v>63.856410449411854</v>
      </c>
      <c r="U115">
        <v>63.875570246372526</v>
      </c>
      <c r="V115">
        <v>63.894735792134554</v>
      </c>
      <c r="W115">
        <v>63.913907088422853</v>
      </c>
      <c r="X115">
        <v>63.933084136962833</v>
      </c>
      <c r="Y115">
        <v>63.952266939480431</v>
      </c>
      <c r="Z115">
        <v>63.971455497702081</v>
      </c>
      <c r="AA115">
        <v>63.9906498133548</v>
      </c>
      <c r="AB115">
        <v>64.009849888166016</v>
      </c>
      <c r="AC115">
        <v>64.029055723863763</v>
      </c>
      <c r="AD115">
        <v>64.048267322176585</v>
      </c>
      <c r="AE115">
        <v>64.067484684833502</v>
      </c>
      <c r="AF115">
        <v>64.086707813564075</v>
      </c>
      <c r="AG115">
        <v>64.105936710098405</v>
      </c>
      <c r="AH115">
        <v>64.125171376167089</v>
      </c>
      <c r="AI115">
        <v>64.144411813501222</v>
      </c>
      <c r="AJ115">
        <v>64.163658023832497</v>
      </c>
      <c r="AK115">
        <v>64.182910008893032</v>
      </c>
      <c r="AL115">
        <v>64.202167770415485</v>
      </c>
      <c r="AM115">
        <v>64.22143131013307</v>
      </c>
      <c r="AN115">
        <v>64.240700629779553</v>
      </c>
      <c r="AO115">
        <v>64.259975731089099</v>
      </c>
      <c r="AP115">
        <v>64.279256615796527</v>
      </c>
      <c r="AQ115">
        <v>64.298543285637123</v>
      </c>
    </row>
    <row r="116" spans="12:43" x14ac:dyDescent="0.25">
      <c r="O116">
        <v>61.57130658748941</v>
      </c>
      <c r="P116">
        <v>61.589780750451531</v>
      </c>
      <c r="Q116">
        <v>61.60826045649398</v>
      </c>
      <c r="R116">
        <v>61.626745707279881</v>
      </c>
      <c r="S116">
        <v>61.645236504472983</v>
      </c>
      <c r="T116">
        <v>61.663732849737393</v>
      </c>
      <c r="U116">
        <v>61.682234744737798</v>
      </c>
      <c r="V116">
        <v>61.700742191139369</v>
      </c>
      <c r="W116">
        <v>61.719255190607782</v>
      </c>
      <c r="X116">
        <v>61.737773744809211</v>
      </c>
      <c r="Y116">
        <v>61.75629785541031</v>
      </c>
      <c r="Z116">
        <v>61.774827524078248</v>
      </c>
      <c r="AA116">
        <v>61.793362752480739</v>
      </c>
      <c r="AB116">
        <v>61.811903542285883</v>
      </c>
      <c r="AC116">
        <v>61.830449895162388</v>
      </c>
      <c r="AD116">
        <v>61.849001812779449</v>
      </c>
      <c r="AE116">
        <v>61.867559296806697</v>
      </c>
      <c r="AF116">
        <v>61.88612234891432</v>
      </c>
      <c r="AG116">
        <v>61.904690970773004</v>
      </c>
      <c r="AH116">
        <v>61.92326516405393</v>
      </c>
      <c r="AI116">
        <v>61.941844930428736</v>
      </c>
      <c r="AJ116">
        <v>61.96043027156967</v>
      </c>
      <c r="AK116">
        <v>61.979021189149364</v>
      </c>
      <c r="AL116">
        <v>61.997617684840975</v>
      </c>
      <c r="AM116">
        <v>62.016219760318215</v>
      </c>
      <c r="AN116">
        <v>62.034827417255308</v>
      </c>
      <c r="AO116">
        <v>62.053440657326874</v>
      </c>
      <c r="AP116">
        <v>62.072059482208168</v>
      </c>
      <c r="AQ116">
        <v>62.090683893574884</v>
      </c>
    </row>
    <row r="117" spans="12:43" x14ac:dyDescent="0.25">
      <c r="P117">
        <v>59.474933835788789</v>
      </c>
      <c r="Q117">
        <v>59.492778992579204</v>
      </c>
      <c r="R117">
        <v>59.510629503719748</v>
      </c>
      <c r="S117">
        <v>59.52848537081703</v>
      </c>
      <c r="T117">
        <v>59.546346595478013</v>
      </c>
      <c r="U117">
        <v>59.564213179310229</v>
      </c>
      <c r="V117">
        <v>59.582085123921672</v>
      </c>
      <c r="W117">
        <v>59.599962430920819</v>
      </c>
      <c r="X117">
        <v>59.617845101916629</v>
      </c>
      <c r="Y117">
        <v>59.635733138518532</v>
      </c>
      <c r="Z117">
        <v>59.653626542336447</v>
      </c>
      <c r="AA117">
        <v>59.671525314980826</v>
      </c>
      <c r="AB117">
        <v>59.689429458062484</v>
      </c>
      <c r="AC117">
        <v>59.70733897319284</v>
      </c>
      <c r="AD117">
        <v>59.725253861983759</v>
      </c>
      <c r="AE117">
        <v>59.743174126047556</v>
      </c>
      <c r="AF117">
        <v>59.761099766997056</v>
      </c>
      <c r="AG117">
        <v>59.779030786445588</v>
      </c>
      <c r="AH117">
        <v>59.796967186006938</v>
      </c>
      <c r="AI117">
        <v>59.814908967295352</v>
      </c>
      <c r="AJ117">
        <v>59.832856131925659</v>
      </c>
      <c r="AK117">
        <v>59.850808681513044</v>
      </c>
      <c r="AL117">
        <v>59.868766617673224</v>
      </c>
      <c r="AM117">
        <v>59.886729942022441</v>
      </c>
      <c r="AN117">
        <v>59.904698656177416</v>
      </c>
      <c r="AO117">
        <v>59.92267276175528</v>
      </c>
      <c r="AP117">
        <v>59.94065226037376</v>
      </c>
      <c r="AQ117">
        <v>59.958637153651004</v>
      </c>
    </row>
    <row r="118" spans="12:43" x14ac:dyDescent="0.25">
      <c r="Q118">
        <v>57.449938141968673</v>
      </c>
      <c r="R118">
        <v>57.467175708916997</v>
      </c>
      <c r="S118">
        <v>57.484418447911224</v>
      </c>
      <c r="T118">
        <v>57.501666360503123</v>
      </c>
      <c r="U118">
        <v>57.518919448245036</v>
      </c>
      <c r="V118">
        <v>57.536177712689735</v>
      </c>
      <c r="W118">
        <v>57.553441155390473</v>
      </c>
      <c r="X118">
        <v>57.570709777900959</v>
      </c>
      <c r="Y118">
        <v>57.587983581775354</v>
      </c>
      <c r="Z118">
        <v>57.6052625685683</v>
      </c>
      <c r="AA118">
        <v>57.622546739834952</v>
      </c>
      <c r="AB118">
        <v>57.639836097130811</v>
      </c>
      <c r="AC118">
        <v>57.657130642011957</v>
      </c>
      <c r="AD118">
        <v>57.67443037603492</v>
      </c>
      <c r="AE118">
        <v>57.691735300756648</v>
      </c>
      <c r="AF118">
        <v>57.709045417734579</v>
      </c>
      <c r="AG118">
        <v>57.726360728526657</v>
      </c>
      <c r="AH118">
        <v>57.743681234691238</v>
      </c>
      <c r="AI118">
        <v>57.761006937787151</v>
      </c>
      <c r="AJ118">
        <v>57.778337839373769</v>
      </c>
      <c r="AK118">
        <v>57.795673941010818</v>
      </c>
      <c r="AL118">
        <v>57.813015244258537</v>
      </c>
      <c r="AM118">
        <v>57.830361750677667</v>
      </c>
      <c r="AN118">
        <v>57.847713461829414</v>
      </c>
      <c r="AO118">
        <v>57.865070379275387</v>
      </c>
      <c r="AP118">
        <v>57.88243250457775</v>
      </c>
      <c r="AQ118">
        <v>57.899799839299106</v>
      </c>
    </row>
    <row r="119" spans="12:43" x14ac:dyDescent="0.25">
      <c r="R119">
        <v>55.493889268187232</v>
      </c>
      <c r="S119">
        <v>55.51053993244247</v>
      </c>
      <c r="T119">
        <v>55.527195592646315</v>
      </c>
      <c r="U119">
        <v>55.5438562502978</v>
      </c>
      <c r="V119">
        <v>55.560521906896383</v>
      </c>
      <c r="W119">
        <v>55.577192563941978</v>
      </c>
      <c r="X119">
        <v>55.593868222934951</v>
      </c>
      <c r="Y119">
        <v>55.61054888537609</v>
      </c>
      <c r="Z119">
        <v>55.627234552766652</v>
      </c>
      <c r="AA119">
        <v>55.643925226608403</v>
      </c>
      <c r="AB119">
        <v>55.660620908403423</v>
      </c>
      <c r="AC119">
        <v>55.677321599654363</v>
      </c>
      <c r="AD119">
        <v>55.694027301864296</v>
      </c>
      <c r="AE119">
        <v>55.710738016536723</v>
      </c>
      <c r="AF119">
        <v>55.727453745175595</v>
      </c>
      <c r="AG119">
        <v>55.744174489285363</v>
      </c>
      <c r="AH119">
        <v>55.760900250370874</v>
      </c>
      <c r="AI119">
        <v>55.777631029937425</v>
      </c>
      <c r="AJ119">
        <v>55.794366829490841</v>
      </c>
      <c r="AK119">
        <v>55.811107650537302</v>
      </c>
      <c r="AL119">
        <v>55.827853494583465</v>
      </c>
      <c r="AM119">
        <v>55.844604363136483</v>
      </c>
      <c r="AN119">
        <v>55.861360257703943</v>
      </c>
      <c r="AO119">
        <v>55.878121179793851</v>
      </c>
      <c r="AP119">
        <v>55.894887130914711</v>
      </c>
    </row>
    <row r="120" spans="12:43" x14ac:dyDescent="0.25">
      <c r="S120">
        <v>53.604439721060757</v>
      </c>
      <c r="T120">
        <v>53.620523465418103</v>
      </c>
      <c r="U120">
        <v>53.636612035622591</v>
      </c>
      <c r="V120">
        <v>53.6527054331222</v>
      </c>
      <c r="W120">
        <v>53.668803659365331</v>
      </c>
      <c r="X120">
        <v>53.684906715800842</v>
      </c>
      <c r="Y120">
        <v>53.701014603877987</v>
      </c>
      <c r="Z120">
        <v>53.717127325046462</v>
      </c>
      <c r="AA120">
        <v>53.733244880756473</v>
      </c>
      <c r="AB120">
        <v>53.749367272458521</v>
      </c>
      <c r="AC120">
        <v>53.765494501603662</v>
      </c>
      <c r="AD120">
        <v>53.781626569643358</v>
      </c>
      <c r="AE120">
        <v>53.797763478029481</v>
      </c>
      <c r="AF120">
        <v>53.813905228214338</v>
      </c>
      <c r="AG120">
        <v>53.830051821650727</v>
      </c>
      <c r="AH120">
        <v>53.846203259791807</v>
      </c>
      <c r="AI120">
        <v>53.862359544091206</v>
      </c>
      <c r="AJ120">
        <v>53.878520676003028</v>
      </c>
      <c r="AK120">
        <v>53.894686656981747</v>
      </c>
      <c r="AL120">
        <v>53.910857488482272</v>
      </c>
      <c r="AM120">
        <v>53.927033171960012</v>
      </c>
      <c r="AN120">
        <v>53.943213708870786</v>
      </c>
      <c r="AO120">
        <v>53.959399100670822</v>
      </c>
      <c r="AP120">
        <v>53.975589348816811</v>
      </c>
    </row>
    <row r="121" spans="12:43" x14ac:dyDescent="0.25">
      <c r="T121">
        <v>51.779321934389607</v>
      </c>
      <c r="U121">
        <v>51.794858061272429</v>
      </c>
      <c r="V121">
        <v>51.810398849692518</v>
      </c>
      <c r="W121">
        <v>51.82594430104853</v>
      </c>
      <c r="X121">
        <v>51.841494416739586</v>
      </c>
      <c r="Y121">
        <v>51.857049198165157</v>
      </c>
      <c r="Z121">
        <v>51.872608646725183</v>
      </c>
      <c r="AA121">
        <v>51.888172763820052</v>
      </c>
      <c r="AB121">
        <v>51.903741550850469</v>
      </c>
      <c r="AC121">
        <v>51.919315009217669</v>
      </c>
      <c r="AD121">
        <v>51.934893140323261</v>
      </c>
      <c r="AE121">
        <v>51.950475945569274</v>
      </c>
      <c r="AF121">
        <v>51.96606342635814</v>
      </c>
      <c r="AG121">
        <v>51.981655584092778</v>
      </c>
      <c r="AH121">
        <v>51.997252420176437</v>
      </c>
      <c r="AI121">
        <v>52.012853936012846</v>
      </c>
      <c r="AJ121">
        <v>52.02846013300617</v>
      </c>
      <c r="AK121">
        <v>52.044071012560934</v>
      </c>
      <c r="AL121">
        <v>52.0596865760821</v>
      </c>
      <c r="AM121">
        <v>52.075306824975101</v>
      </c>
      <c r="AN121">
        <v>52.090931760645759</v>
      </c>
      <c r="AO121">
        <v>52.10656138450031</v>
      </c>
      <c r="AP121">
        <v>52.122195697945408</v>
      </c>
    </row>
    <row r="122" spans="12:43" x14ac:dyDescent="0.25">
      <c r="U122">
        <v>50.016345547806893</v>
      </c>
      <c r="V122">
        <v>50.031352702431874</v>
      </c>
      <c r="W122">
        <v>50.046364359878623</v>
      </c>
      <c r="X122">
        <v>50.061380521498222</v>
      </c>
      <c r="Y122">
        <v>50.076401188642087</v>
      </c>
      <c r="Z122">
        <v>50.091426362662084</v>
      </c>
      <c r="AA122">
        <v>50.106456044910516</v>
      </c>
      <c r="AB122">
        <v>50.121490236739987</v>
      </c>
      <c r="AC122">
        <v>50.136528939503627</v>
      </c>
      <c r="AD122">
        <v>50.151572154554906</v>
      </c>
      <c r="AE122">
        <v>50.166619883247719</v>
      </c>
      <c r="AF122">
        <v>50.181672126936341</v>
      </c>
      <c r="AG122">
        <v>50.196728886975514</v>
      </c>
      <c r="AH122">
        <v>50.211790164720298</v>
      </c>
      <c r="AI122">
        <v>50.226855961526233</v>
      </c>
      <c r="AJ122">
        <v>50.241926278749268</v>
      </c>
      <c r="AK122">
        <v>50.257001117745688</v>
      </c>
      <c r="AL122">
        <v>50.272080479872223</v>
      </c>
      <c r="AM122">
        <v>50.287164366486046</v>
      </c>
      <c r="AN122">
        <v>50.302252778944698</v>
      </c>
      <c r="AO122">
        <v>50.317345718606134</v>
      </c>
      <c r="AP122">
        <v>50.332443186828705</v>
      </c>
    </row>
    <row r="123" spans="12:43" x14ac:dyDescent="0.25">
      <c r="V123">
        <v>48.313394778083101</v>
      </c>
      <c r="W123">
        <v>48.327890970836712</v>
      </c>
      <c r="X123">
        <v>48.342391513100559</v>
      </c>
      <c r="Y123">
        <v>48.356896406179665</v>
      </c>
      <c r="Z123">
        <v>48.371405651379469</v>
      </c>
      <c r="AA123">
        <v>48.385919250005841</v>
      </c>
      <c r="AB123">
        <v>48.400437203364945</v>
      </c>
      <c r="AC123">
        <v>48.414959512763438</v>
      </c>
      <c r="AD123">
        <v>48.429486179508324</v>
      </c>
      <c r="AE123">
        <v>48.444017204907006</v>
      </c>
      <c r="AF123">
        <v>48.458552590267253</v>
      </c>
      <c r="AG123">
        <v>48.473092336897288</v>
      </c>
      <c r="AH123">
        <v>48.487636446105647</v>
      </c>
      <c r="AI123">
        <v>48.502184919201326</v>
      </c>
      <c r="AJ123">
        <v>48.516737757493701</v>
      </c>
      <c r="AK123">
        <v>48.531294962292499</v>
      </c>
      <c r="AL123">
        <v>48.545856534907855</v>
      </c>
      <c r="AM123">
        <v>48.560422476650345</v>
      </c>
      <c r="AN123">
        <v>48.57499278883089</v>
      </c>
      <c r="AO123">
        <v>48.58956747276082</v>
      </c>
      <c r="AP123">
        <v>48.604146529751837</v>
      </c>
    </row>
    <row r="124" spans="12:43" x14ac:dyDescent="0.25">
      <c r="W124">
        <v>46.668425879932286</v>
      </c>
      <c r="X124">
        <v>46.682428507985463</v>
      </c>
      <c r="Y124">
        <v>46.696435337457231</v>
      </c>
      <c r="Z124">
        <v>46.710446369608199</v>
      </c>
      <c r="AA124">
        <v>46.724461605699396</v>
      </c>
      <c r="AB124">
        <v>46.738481046992135</v>
      </c>
      <c r="AC124">
        <v>46.752504694748211</v>
      </c>
      <c r="AD124">
        <v>46.766532550229748</v>
      </c>
      <c r="AE124">
        <v>46.780564614699244</v>
      </c>
      <c r="AF124">
        <v>46.794600889419577</v>
      </c>
      <c r="AG124">
        <v>46.808641375654048</v>
      </c>
      <c r="AH124">
        <v>46.822686074666251</v>
      </c>
      <c r="AI124">
        <v>46.836734987720234</v>
      </c>
      <c r="AJ124">
        <v>46.850788116080423</v>
      </c>
      <c r="AK124">
        <v>46.864845461011569</v>
      </c>
      <c r="AL124">
        <v>46.878907023778815</v>
      </c>
      <c r="AM124">
        <v>46.89297280564773</v>
      </c>
      <c r="AN124">
        <v>46.907042807884238</v>
      </c>
      <c r="AO124">
        <v>46.921117031754626</v>
      </c>
      <c r="AP124">
        <v>46.935195478525564</v>
      </c>
    </row>
    <row r="125" spans="12:43" x14ac:dyDescent="0.25">
      <c r="X125">
        <v>45.079464693272527</v>
      </c>
      <c r="Y125">
        <v>45.092990561459295</v>
      </c>
      <c r="Z125">
        <v>45.106520488015235</v>
      </c>
      <c r="AA125">
        <v>45.120054474158067</v>
      </c>
      <c r="AB125">
        <v>45.133592521105804</v>
      </c>
      <c r="AC125">
        <v>45.147134630076906</v>
      </c>
      <c r="AD125">
        <v>45.160680802290166</v>
      </c>
      <c r="AE125">
        <v>45.174231038964727</v>
      </c>
      <c r="AF125">
        <v>45.187785341320101</v>
      </c>
      <c r="AG125">
        <v>45.201343710576211</v>
      </c>
      <c r="AH125">
        <v>45.214906147953258</v>
      </c>
      <c r="AI125">
        <v>45.228472654671897</v>
      </c>
      <c r="AJ125">
        <v>45.242043231953126</v>
      </c>
      <c r="AK125">
        <v>45.255617881018274</v>
      </c>
      <c r="AL125">
        <v>45.269196603089043</v>
      </c>
      <c r="AM125">
        <v>45.282779399387536</v>
      </c>
      <c r="AN125">
        <v>45.296366271136215</v>
      </c>
      <c r="AO125">
        <v>45.309957219557887</v>
      </c>
      <c r="AP125">
        <v>45.323552245875725</v>
      </c>
    </row>
    <row r="126" spans="12:43" x14ac:dyDescent="0.25">
      <c r="Y126">
        <v>43.544604273996839</v>
      </c>
      <c r="Z126">
        <v>43.557669614982188</v>
      </c>
      <c r="AA126">
        <v>43.570738876157847</v>
      </c>
      <c r="AB126">
        <v>43.583812058700012</v>
      </c>
      <c r="AC126">
        <v>43.596889163785299</v>
      </c>
      <c r="AD126">
        <v>43.609970192590644</v>
      </c>
      <c r="AE126">
        <v>43.623055146293339</v>
      </c>
      <c r="AF126">
        <v>43.636144026071015</v>
      </c>
      <c r="AG126">
        <v>43.64923683310171</v>
      </c>
      <c r="AH126">
        <v>43.662333568563724</v>
      </c>
      <c r="AI126">
        <v>43.675434233635791</v>
      </c>
      <c r="AJ126">
        <v>43.688538829496991</v>
      </c>
      <c r="AK126">
        <v>43.701647357326713</v>
      </c>
      <c r="AL126">
        <v>43.714759818304707</v>
      </c>
      <c r="AM126">
        <v>43.727876213611111</v>
      </c>
      <c r="AN126">
        <v>43.740996544426416</v>
      </c>
      <c r="AO126">
        <v>43.754120811931443</v>
      </c>
      <c r="AP126">
        <v>43.76724901730735</v>
      </c>
    </row>
    <row r="127" spans="12:43" x14ac:dyDescent="0.25">
      <c r="Z127">
        <v>42.062002605411465</v>
      </c>
      <c r="AA127">
        <v>42.074623099172506</v>
      </c>
      <c r="AB127">
        <v>42.087247379649632</v>
      </c>
      <c r="AC127">
        <v>42.099875447979059</v>
      </c>
      <c r="AD127">
        <v>42.112507305297306</v>
      </c>
      <c r="AE127">
        <v>42.12514295274125</v>
      </c>
      <c r="AF127">
        <v>42.13778239144807</v>
      </c>
      <c r="AG127">
        <v>42.15042562255536</v>
      </c>
      <c r="AH127">
        <v>42.163072647200963</v>
      </c>
      <c r="AI127">
        <v>42.175723466523131</v>
      </c>
      <c r="AJ127">
        <v>42.18837808166046</v>
      </c>
      <c r="AK127">
        <v>42.20103649375185</v>
      </c>
      <c r="AL127">
        <v>42.213698703936529</v>
      </c>
      <c r="AM127">
        <v>42.226364713354116</v>
      </c>
      <c r="AN127">
        <v>42.239034523144568</v>
      </c>
      <c r="AO127">
        <v>42.251708134448158</v>
      </c>
      <c r="AP127">
        <v>42.264385548405492</v>
      </c>
    </row>
    <row r="128" spans="12:43" x14ac:dyDescent="0.25">
      <c r="AA128">
        <v>40.629880387594817</v>
      </c>
      <c r="AB128">
        <v>40.642071180238545</v>
      </c>
      <c r="AC128">
        <v>40.654265630668718</v>
      </c>
      <c r="AD128">
        <v>40.666463739982824</v>
      </c>
      <c r="AE128">
        <v>40.678665509278702</v>
      </c>
      <c r="AF128">
        <v>40.690870939654488</v>
      </c>
      <c r="AG128">
        <v>40.703080032208717</v>
      </c>
      <c r="AH128">
        <v>40.715292788040152</v>
      </c>
      <c r="AI128">
        <v>40.727509208247959</v>
      </c>
      <c r="AJ128">
        <v>40.739729293931646</v>
      </c>
      <c r="AK128">
        <v>40.751953046191005</v>
      </c>
      <c r="AL128">
        <v>40.764180466126135</v>
      </c>
      <c r="AM128">
        <v>40.776411554837537</v>
      </c>
      <c r="AN128">
        <v>40.788646313426014</v>
      </c>
      <c r="AO128">
        <v>40.800884742992693</v>
      </c>
      <c r="AP128">
        <v>40.813126844639008</v>
      </c>
    </row>
    <row r="129" spans="28:42" x14ac:dyDescent="0.25">
      <c r="AB129">
        <v>39.246518902023929</v>
      </c>
      <c r="AC129">
        <v>39.25829462396451</v>
      </c>
      <c r="AD129">
        <v>39.270073879151624</v>
      </c>
      <c r="AE129">
        <v>39.281856668645425</v>
      </c>
      <c r="AF129">
        <v>39.293642993506339</v>
      </c>
      <c r="AG129">
        <v>39.305432854795178</v>
      </c>
      <c r="AH129">
        <v>39.317226253572976</v>
      </c>
      <c r="AI129">
        <v>39.329023190901154</v>
      </c>
      <c r="AJ129">
        <v>39.340823667841477</v>
      </c>
      <c r="AK129">
        <v>39.352627685455957</v>
      </c>
      <c r="AL129">
        <v>39.364435244806927</v>
      </c>
      <c r="AM129">
        <v>39.376246346957103</v>
      </c>
      <c r="AN129">
        <v>39.388060992969478</v>
      </c>
      <c r="AO129">
        <v>39.39987918390738</v>
      </c>
      <c r="AP129">
        <v>39.411700920834413</v>
      </c>
    </row>
    <row r="130" spans="28:42" x14ac:dyDescent="0.25">
      <c r="AC130">
        <v>37.910257948906143</v>
      </c>
      <c r="AD130">
        <v>37.921632732423028</v>
      </c>
      <c r="AE130">
        <v>37.933010928886887</v>
      </c>
      <c r="AF130">
        <v>37.944392539321747</v>
      </c>
      <c r="AG130">
        <v>37.955777564751983</v>
      </c>
      <c r="AH130">
        <v>37.967166006202206</v>
      </c>
      <c r="AI130">
        <v>37.978557864697386</v>
      </c>
      <c r="AJ130">
        <v>37.989953141262831</v>
      </c>
      <c r="AK130">
        <v>38.001351836924087</v>
      </c>
      <c r="AL130">
        <v>38.012753952707001</v>
      </c>
      <c r="AM130">
        <v>38.02415948963781</v>
      </c>
      <c r="AN130">
        <v>38.035568448742993</v>
      </c>
      <c r="AO130">
        <v>38.046980831049375</v>
      </c>
      <c r="AP130">
        <v>38.058396637584039</v>
      </c>
    </row>
    <row r="131" spans="28:42" x14ac:dyDescent="0.25">
      <c r="AD131">
        <v>36.619493854739972</v>
      </c>
      <c r="AE131">
        <v>36.63048135093841</v>
      </c>
      <c r="AF131">
        <v>36.641472143880193</v>
      </c>
      <c r="AG131">
        <v>36.652466234554517</v>
      </c>
      <c r="AH131">
        <v>36.663463623950804</v>
      </c>
      <c r="AI131">
        <v>36.674464313058841</v>
      </c>
      <c r="AJ131">
        <v>36.685468302868713</v>
      </c>
      <c r="AK131">
        <v>36.69647559437076</v>
      </c>
      <c r="AL131">
        <v>36.707486188555606</v>
      </c>
      <c r="AM131">
        <v>36.718500086414245</v>
      </c>
      <c r="AN131">
        <v>36.729517288937913</v>
      </c>
      <c r="AO131">
        <v>36.740537797118172</v>
      </c>
      <c r="AP131">
        <v>36.75156161194684</v>
      </c>
    </row>
    <row r="132" spans="28:42" x14ac:dyDescent="0.25">
      <c r="AE132">
        <v>35.372677547714524</v>
      </c>
      <c r="AF132">
        <v>35.383290942908509</v>
      </c>
      <c r="AG132">
        <v>35.393907522598724</v>
      </c>
      <c r="AH132">
        <v>35.404527287740621</v>
      </c>
      <c r="AI132">
        <v>35.415150239289993</v>
      </c>
      <c r="AJ132">
        <v>35.425776378202933</v>
      </c>
      <c r="AK132">
        <v>35.436405705435774</v>
      </c>
      <c r="AL132">
        <v>35.447038221945121</v>
      </c>
      <c r="AM132">
        <v>35.457673928687946</v>
      </c>
      <c r="AN132">
        <v>35.46831282662145</v>
      </c>
      <c r="AO132">
        <v>35.478954916703131</v>
      </c>
      <c r="AP132">
        <v>35.489600199890774</v>
      </c>
    </row>
    <row r="133" spans="28:42" x14ac:dyDescent="0.25">
      <c r="AF133">
        <v>34.168312698637429</v>
      </c>
      <c r="AG133">
        <v>34.178564730174877</v>
      </c>
      <c r="AH133">
        <v>34.18881983778315</v>
      </c>
      <c r="AI133">
        <v>34.19907802238523</v>
      </c>
      <c r="AJ133">
        <v>34.209339284904374</v>
      </c>
      <c r="AK133">
        <v>34.219603626264082</v>
      </c>
      <c r="AL133">
        <v>34.229871047388109</v>
      </c>
      <c r="AM133">
        <v>34.240141549200565</v>
      </c>
      <c r="AN133">
        <v>34.250415132625783</v>
      </c>
      <c r="AO133">
        <v>34.26069179858839</v>
      </c>
      <c r="AP133">
        <v>34.270971548013279</v>
      </c>
    </row>
    <row r="134" spans="28:42" x14ac:dyDescent="0.25">
      <c r="AG134">
        <v>33.004953925160258</v>
      </c>
      <c r="AH134">
        <v>33.014856896709261</v>
      </c>
      <c r="AI134">
        <v>33.024762839595404</v>
      </c>
      <c r="AJ134">
        <v>33.034671754710239</v>
      </c>
      <c r="AK134">
        <v>33.044583642945568</v>
      </c>
      <c r="AL134">
        <v>33.054498505193408</v>
      </c>
      <c r="AM134">
        <v>33.064416342346156</v>
      </c>
      <c r="AN134">
        <v>33.074337155296391</v>
      </c>
      <c r="AO134">
        <v>33.084260944936993</v>
      </c>
      <c r="AP134">
        <v>33.094187712161109</v>
      </c>
    </row>
    <row r="135" spans="28:42" x14ac:dyDescent="0.25">
      <c r="AH135">
        <v>31.881205057146158</v>
      </c>
      <c r="AI135">
        <v>31.890770853460996</v>
      </c>
      <c r="AJ135">
        <v>31.900339519945248</v>
      </c>
      <c r="AK135">
        <v>31.909911057460093</v>
      </c>
      <c r="AL135">
        <v>31.919485466866913</v>
      </c>
      <c r="AM135">
        <v>31.929062749027469</v>
      </c>
      <c r="AN135">
        <v>31.938642904803686</v>
      </c>
      <c r="AO135">
        <v>31.948225935057788</v>
      </c>
      <c r="AP135">
        <v>31.957811840652255</v>
      </c>
    </row>
    <row r="136" spans="28:42" x14ac:dyDescent="0.25">
      <c r="AI136">
        <v>30.795717461098267</v>
      </c>
      <c r="AJ136">
        <v>30.804957562282482</v>
      </c>
      <c r="AK136">
        <v>30.814200435912909</v>
      </c>
      <c r="AL136">
        <v>30.823446082821356</v>
      </c>
      <c r="AM136">
        <v>30.832694503839992</v>
      </c>
      <c r="AN136">
        <v>30.841945699801148</v>
      </c>
      <c r="AO136">
        <v>30.85119967153744</v>
      </c>
      <c r="AP136">
        <v>30.860456419881732</v>
      </c>
    </row>
    <row r="137" spans="28:42" x14ac:dyDescent="0.25">
      <c r="AJ137">
        <v>29.747188421637631</v>
      </c>
      <c r="AK137">
        <v>29.756113916921493</v>
      </c>
      <c r="AL137">
        <v>29.765042090255587</v>
      </c>
      <c r="AM137">
        <v>29.77397294244351</v>
      </c>
      <c r="AN137">
        <v>29.782906474289014</v>
      </c>
      <c r="AO137">
        <v>29.791842686596119</v>
      </c>
      <c r="AP137">
        <v>29.800781580169097</v>
      </c>
    </row>
    <row r="138" spans="28:42" x14ac:dyDescent="0.25">
      <c r="AK138">
        <v>28.73435957808837</v>
      </c>
      <c r="AL138">
        <v>28.742981179137271</v>
      </c>
      <c r="AM138">
        <v>28.75160536705452</v>
      </c>
      <c r="AN138">
        <v>28.760232142616264</v>
      </c>
      <c r="AO138">
        <v>28.76886150659892</v>
      </c>
      <c r="AP138">
        <v>28.777493459779141</v>
      </c>
    </row>
    <row r="139" spans="28:42" x14ac:dyDescent="0.25">
      <c r="AL139">
        <v>27.756015414293852</v>
      </c>
      <c r="AM139">
        <v>27.764343468063746</v>
      </c>
      <c r="AN139">
        <v>27.772674020624567</v>
      </c>
      <c r="AO139">
        <v>27.781007072726066</v>
      </c>
      <c r="AP139">
        <v>27.789342625118231</v>
      </c>
    </row>
    <row r="140" spans="28:42" x14ac:dyDescent="0.25">
      <c r="AM140">
        <v>26.810981799851589</v>
      </c>
      <c r="AN140">
        <v>26.819026301006382</v>
      </c>
      <c r="AO140">
        <v>26.827073215873558</v>
      </c>
      <c r="AP140">
        <v>26.835122545177349</v>
      </c>
    </row>
    <row r="141" spans="28:42" x14ac:dyDescent="0.25">
      <c r="AN141">
        <v>25.898124581015658</v>
      </c>
      <c r="AO141">
        <v>25.905895183922116</v>
      </c>
      <c r="AP141">
        <v>25.913668118359166</v>
      </c>
    </row>
    <row r="142" spans="28:42" x14ac:dyDescent="0.25">
      <c r="AO142">
        <v>25.016348219576209</v>
      </c>
      <c r="AP142">
        <v>25.023854249890338</v>
      </c>
    </row>
    <row r="143" spans="28:42" x14ac:dyDescent="0.25">
      <c r="AP143">
        <v>24.164594478082126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14</vt:i4>
      </vt:variant>
    </vt:vector>
  </HeadingPairs>
  <TitlesOfParts>
    <vt:vector size="19" baseType="lpstr">
      <vt:lpstr>Pricer</vt:lpstr>
      <vt:lpstr>Greeks comparison</vt:lpstr>
      <vt:lpstr>Results Tree-BS</vt:lpstr>
      <vt:lpstr>Arbre</vt:lpstr>
      <vt:lpstr>_xlwings.conf</vt:lpstr>
      <vt:lpstr>Divamount</vt:lpstr>
      <vt:lpstr>divDate</vt:lpstr>
      <vt:lpstr>EU_US</vt:lpstr>
      <vt:lpstr>Gap_VBA</vt:lpstr>
      <vt:lpstr>IntRate</vt:lpstr>
      <vt:lpstr>Mat</vt:lpstr>
      <vt:lpstr>OptPrice</vt:lpstr>
      <vt:lpstr>OptType</vt:lpstr>
      <vt:lpstr>Pr_date</vt:lpstr>
      <vt:lpstr>St</vt:lpstr>
      <vt:lpstr>Steps</vt:lpstr>
      <vt:lpstr>Strike</vt:lpstr>
      <vt:lpstr>Time_VBA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Mouline Hicham</cp:lastModifiedBy>
  <dcterms:created xsi:type="dcterms:W3CDTF">2015-01-25T11:31:25Z</dcterms:created>
  <dcterms:modified xsi:type="dcterms:W3CDTF">2022-12-11T23:26:34Z</dcterms:modified>
</cp:coreProperties>
</file>