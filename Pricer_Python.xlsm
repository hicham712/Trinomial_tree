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icham\Documents\GitHub\Trinomial_tree\"/>
    </mc:Choice>
  </mc:AlternateContent>
  <xr:revisionPtr revIDLastSave="0" documentId="13_ncr:1_{BBD7A057-F714-4D5C-9F30-52D32E6AEACF}" xr6:coauthVersionLast="47" xr6:coauthVersionMax="47" xr10:uidLastSave="{00000000-0000-0000-0000-000000000000}"/>
  <bookViews>
    <workbookView xWindow="-120" yWindow="-120" windowWidth="24240" windowHeight="13140" tabRatio="500" xr2:uid="{00000000-000D-0000-FFFF-FFFF00000000}"/>
  </bookViews>
  <sheets>
    <sheet name="Pricer" sheetId="1" r:id="rId1"/>
    <sheet name="Gap as function strike" sheetId="11" r:id="rId2"/>
    <sheet name="Greeks comparison" sheetId="9" r:id="rId3"/>
    <sheet name="Result Tree-BS" sheetId="10" r:id="rId4"/>
    <sheet name="Data" sheetId="8" state="hidden" r:id="rId5"/>
    <sheet name="Arbre" sheetId="3" r:id="rId6"/>
    <sheet name="Proba" sheetId="4" r:id="rId7"/>
    <sheet name="Prix" sheetId="5" r:id="rId8"/>
    <sheet name="Variance" sheetId="6" r:id="rId9"/>
    <sheet name="Forward" sheetId="7" r:id="rId10"/>
    <sheet name="_xlwings.conf" sheetId="2" state="hidden" r:id="rId11"/>
  </sheets>
  <functionGroups builtInGroupCount="19">
    <functionGroup name="Refinitiv"/>
  </functionGroups>
  <definedNames>
    <definedName name="BS_price">Pricer!$V$7</definedName>
    <definedName name="Divamount">Pricer!$L$7</definedName>
    <definedName name="divDate">Pricer!$L$8</definedName>
    <definedName name="EU_US">Pricer!$L$11</definedName>
    <definedName name="IntRate">Pricer!$L$5</definedName>
    <definedName name="Mat">Pricer!$L$9</definedName>
    <definedName name="Negative_prob">Pricer!$L$21</definedName>
    <definedName name="OptPrice">Pricer!$L$22</definedName>
    <definedName name="OptType">Pricer!$L$10</definedName>
    <definedName name="Pr_date">Pricer!$L$3</definedName>
    <definedName name="St">Pricer!$L$4</definedName>
    <definedName name="Steps">Pricer!$L$13</definedName>
    <definedName name="Strike">Pricer!$L$12</definedName>
    <definedName name="Time_VBA">Pricer!$L$23</definedName>
    <definedName name="Vol">Pricer!$L$6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7" i="1" l="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2" i="11"/>
  <c r="V3" i="1"/>
  <c r="V5" i="1"/>
  <c r="V4" i="1"/>
  <c r="V6" i="1"/>
  <c r="V7" i="1"/>
  <c r="R20" i="1"/>
  <c r="R22" i="1"/>
  <c r="U16" i="1" a="1"/>
  <c r="U16" i="1"/>
  <c r="V16" i="1" a="1"/>
  <c r="V16" i="1"/>
  <c r="W16" i="1" a="1"/>
  <c r="W16" i="1"/>
  <c r="X16" i="1"/>
  <c r="J2" i="9"/>
  <c r="H3" i="9"/>
  <c r="H4" i="9"/>
  <c r="H5" i="9"/>
  <c r="H6" i="9"/>
  <c r="H7" i="9"/>
  <c r="H8" i="9"/>
  <c r="H9" i="9"/>
  <c r="H10" i="9"/>
  <c r="H11" i="9"/>
  <c r="H12" i="9"/>
  <c r="H2" i="9"/>
  <c r="X20" i="1"/>
  <c r="U17" i="1" a="1"/>
  <c r="U17" i="1"/>
  <c r="V17" i="1" a="1"/>
  <c r="V17" i="1"/>
  <c r="X17" i="1"/>
  <c r="X23" i="1"/>
  <c r="U15" i="1" a="1"/>
  <c r="U15" i="1"/>
  <c r="V15" i="1" a="1"/>
  <c r="V15" i="1"/>
  <c r="X18" i="1"/>
  <c r="X19" i="1"/>
  <c r="X22" i="1"/>
  <c r="X15" i="1"/>
  <c r="X21" i="1"/>
  <c r="R21" i="1"/>
  <c r="R19" i="1"/>
  <c r="L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<sst xmlns="http://schemas.openxmlformats.org/spreadsheetml/2006/main" count="140" uniqueCount="103">
  <si>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</si>
  <si>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</si>
  <si>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</si>
  <si>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</si>
  <si>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</si>
  <si>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</si>
  <si>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</si>
  <si>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</si>
  <si>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</si>
  <si>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</si>
  <si>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</si>
  <si>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</si>
  <si>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</si>
  <si>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</si>
  <si>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</si>
  <si>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Option Pricer</t>
  </si>
  <si>
    <t xml:space="preserve">Start date </t>
  </si>
  <si>
    <t>Start price</t>
  </si>
  <si>
    <t>Market</t>
  </si>
  <si>
    <t>Interest rate</t>
  </si>
  <si>
    <t>Volatility</t>
  </si>
  <si>
    <t>I</t>
  </si>
  <si>
    <t>Dividend</t>
  </si>
  <si>
    <t>N</t>
  </si>
  <si>
    <t>Div ex date</t>
  </si>
  <si>
    <t>P</t>
  </si>
  <si>
    <t>Maturity</t>
  </si>
  <si>
    <t>U</t>
  </si>
  <si>
    <t>Type</t>
  </si>
  <si>
    <t>T</t>
  </si>
  <si>
    <t>Trade</t>
  </si>
  <si>
    <t>Exercice</t>
  </si>
  <si>
    <t>Strike</t>
  </si>
  <si>
    <t>Model</t>
  </si>
  <si>
    <t>Nb steps</t>
  </si>
  <si>
    <t>O</t>
  </si>
  <si>
    <t>BS Price</t>
  </si>
  <si>
    <t>Python Price</t>
  </si>
  <si>
    <t>Price</t>
  </si>
  <si>
    <t>Error</t>
  </si>
  <si>
    <t>Run time Tree (s)</t>
  </si>
  <si>
    <t>Run time Pricing (s)</t>
  </si>
  <si>
    <t>Run time Total (s)</t>
  </si>
  <si>
    <t>Hello</t>
  </si>
  <si>
    <t>Call</t>
  </si>
  <si>
    <t>US</t>
  </si>
  <si>
    <t>Proba next up</t>
  </si>
  <si>
    <t>Proba next down</t>
  </si>
  <si>
    <t>Proba next mid</t>
  </si>
  <si>
    <t>option price</t>
  </si>
  <si>
    <t>Put</t>
  </si>
  <si>
    <t>EU</t>
  </si>
  <si>
    <t>forward</t>
  </si>
  <si>
    <t>Performance Python</t>
  </si>
  <si>
    <t>Time (in s)</t>
  </si>
  <si>
    <t>Precision Python</t>
  </si>
  <si>
    <t>Proba négative ?</t>
  </si>
  <si>
    <t>Arbre</t>
  </si>
  <si>
    <t>Proba</t>
  </si>
  <si>
    <t>Prix</t>
  </si>
  <si>
    <t>Variance</t>
  </si>
  <si>
    <t>Forward</t>
  </si>
  <si>
    <t>Print ?</t>
  </si>
  <si>
    <t>All</t>
  </si>
  <si>
    <t>Underlying price</t>
  </si>
  <si>
    <t>None</t>
  </si>
  <si>
    <t>VBA Price</t>
  </si>
  <si>
    <t>VBA Time</t>
  </si>
  <si>
    <t>Error python</t>
  </si>
  <si>
    <t>d_1</t>
  </si>
  <si>
    <t>d_2</t>
  </si>
  <si>
    <t>Black and Scholes</t>
  </si>
  <si>
    <t>N(d_1)</t>
  </si>
  <si>
    <t>N(d_2)</t>
  </si>
  <si>
    <t>Add-ons</t>
  </si>
  <si>
    <t>Error Upper Bound</t>
  </si>
  <si>
    <t>Error B&amp;S VBA</t>
  </si>
  <si>
    <t>Error B&amp;S VBA (%)</t>
  </si>
  <si>
    <t>Nb Steps approx</t>
  </si>
  <si>
    <t>Greeks</t>
  </si>
  <si>
    <t>Opt(S(0)+h)</t>
  </si>
  <si>
    <t>Opt(S(0)-h)</t>
  </si>
  <si>
    <t>Opt(S(0))</t>
  </si>
  <si>
    <t>Value</t>
  </si>
  <si>
    <t>Delta</t>
  </si>
  <si>
    <t>Gamma</t>
  </si>
  <si>
    <t>Delta B&amp;S</t>
  </si>
  <si>
    <t>Gamma B&amp;S</t>
  </si>
  <si>
    <t>Gap Delta</t>
  </si>
  <si>
    <t>Gap Gamma</t>
  </si>
  <si>
    <t>Strike (with Stock price =100)</t>
  </si>
  <si>
    <t>Nbsteps</t>
  </si>
  <si>
    <t>Tree Price</t>
  </si>
  <si>
    <t>Time elapsed VBA (s)</t>
  </si>
  <si>
    <t>(Tree-BS)*Steps</t>
  </si>
  <si>
    <t>Black Scholes price</t>
  </si>
  <si>
    <t>Vega B&amp;S</t>
  </si>
  <si>
    <t>Vega</t>
  </si>
  <si>
    <t>Gap Vega</t>
  </si>
  <si>
    <t>Non</t>
  </si>
  <si>
    <t>VBA</t>
  </si>
  <si>
    <t>B&amp;S</t>
  </si>
  <si>
    <t xml:space="preserve">Gap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</si>
</sst>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000"/>
    <numFmt numFmtId="165" formatCode="0.000000"/>
    <numFmt numFmtId="166" formatCode="0.0000000"/>
    <numFmt numFmtId="167" formatCode="0.00000%"/>
    <numFmt numFmtId="168" formatCode="0.0000%"/>
    <numFmt numFmtId="169" formatCode="0.000"/>
    <numFmt numFmtId="170" formatCode="[$-409]dd\-mmm\-yy;@"/>
    <numFmt numFmtId="171" formatCode="_(* #,##0.000_);_(* \(#,##0.000\);_(* &quot;-&quot;??_);_(@_)"/>
    <numFmt numFmtId="172" formatCode="_(* #,##0.0000_);_(* \(#,##0.0000\);_(* &quot;-&quot;??_);_(@_)"/>
  </numFmts>
  <fonts count="1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1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0" fontId="0" fillId="0" borderId="5" xfId="0" applyBorder="1"/>
    <xf numFmtId="0" fontId="0" fillId="0" borderId="6" xfId="0" applyBorder="1"/>
    <xf numFmtId="0" fontId="4" fillId="0" borderId="7" xfId="0" applyFont="1" applyBorder="1"/>
    <xf numFmtId="0" fontId="5" fillId="0" borderId="6" xfId="0" applyFont="1" applyBorder="1"/>
    <xf numFmtId="0" fontId="0" fillId="0" borderId="8" xfId="0" applyBorder="1"/>
    <xf numFmtId="0" fontId="4" fillId="0" borderId="9" xfId="0" applyFont="1" applyBorder="1"/>
    <xf numFmtId="0" fontId="6" fillId="0" borderId="4" xfId="0" applyFont="1" applyBorder="1"/>
    <xf numFmtId="0" fontId="6" fillId="0" borderId="7" xfId="0" applyFont="1" applyBorder="1"/>
    <xf numFmtId="0" fontId="7" fillId="0" borderId="6" xfId="0" applyFont="1" applyBorder="1"/>
    <xf numFmtId="0" fontId="8" fillId="0" borderId="3" xfId="0" applyFont="1" applyBorder="1"/>
    <xf numFmtId="0" fontId="9" fillId="0" borderId="4" xfId="0" applyFont="1" applyBorder="1"/>
    <xf numFmtId="0" fontId="0" fillId="0" borderId="10" xfId="0" applyBorder="1"/>
    <xf numFmtId="0" fontId="8" fillId="0" borderId="6" xfId="0" applyFont="1" applyBorder="1"/>
    <xf numFmtId="0" fontId="9" fillId="0" borderId="7" xfId="0" applyFont="1" applyBorder="1"/>
    <xf numFmtId="0" fontId="3" fillId="2" borderId="0" xfId="0" applyFont="1" applyFill="1" applyAlignment="1">
      <alignment horizontal="center"/>
    </xf>
    <xf numFmtId="0" fontId="10" fillId="0" borderId="4" xfId="0" applyFont="1" applyBorder="1"/>
    <xf numFmtId="0" fontId="10" fillId="0" borderId="7" xfId="0" applyFont="1" applyBorder="1"/>
    <xf numFmtId="0" fontId="11" fillId="0" borderId="6" xfId="0" applyFont="1" applyBorder="1"/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14" fontId="0" fillId="0" borderId="5" xfId="0" applyNumberFormat="1" applyBorder="1"/>
    <xf numFmtId="0" fontId="0" fillId="0" borderId="11" xfId="0" applyBorder="1"/>
    <xf numFmtId="0" fontId="3" fillId="2" borderId="7" xfId="0" applyFont="1" applyFill="1" applyBorder="1" applyAlignment="1">
      <alignment horizontal="center"/>
    </xf>
    <xf numFmtId="0" fontId="0" fillId="0" borderId="12" xfId="0" applyBorder="1"/>
    <xf numFmtId="0" fontId="13" fillId="4" borderId="7" xfId="0" applyFont="1" applyFill="1" applyBorder="1"/>
    <xf numFmtId="0" fontId="13" fillId="5" borderId="7" xfId="0" applyFont="1" applyFill="1" applyBorder="1"/>
    <xf numFmtId="0" fontId="10" fillId="5" borderId="0" xfId="0" applyFont="1" applyFill="1"/>
    <xf numFmtId="0" fontId="10" fillId="5" borderId="7" xfId="0" applyFont="1" applyFill="1" applyBorder="1"/>
    <xf numFmtId="0" fontId="0" fillId="4" borderId="9" xfId="0" applyFill="1" applyBorder="1"/>
    <xf numFmtId="166" fontId="12" fillId="0" borderId="5" xfId="0" applyNumberFormat="1" applyFont="1" applyBorder="1"/>
    <xf numFmtId="0" fontId="15" fillId="6" borderId="5" xfId="0" applyFont="1" applyFill="1" applyBorder="1"/>
    <xf numFmtId="0" fontId="15" fillId="7" borderId="5" xfId="0" applyFont="1" applyFill="1" applyBorder="1"/>
    <xf numFmtId="0" fontId="16" fillId="0" borderId="0" xfId="0" applyFont="1"/>
    <xf numFmtId="164" fontId="15" fillId="7" borderId="5" xfId="0" applyNumberFormat="1" applyFont="1" applyFill="1" applyBorder="1"/>
    <xf numFmtId="0" fontId="1" fillId="8" borderId="13" xfId="0" applyFont="1" applyFill="1" applyBorder="1" applyAlignment="1">
      <alignment horizontal="center" vertical="center"/>
    </xf>
    <xf numFmtId="0" fontId="0" fillId="0" borderId="14" xfId="0" applyBorder="1"/>
    <xf numFmtId="165" fontId="0" fillId="0" borderId="15" xfId="0" applyNumberFormat="1" applyBorder="1"/>
    <xf numFmtId="164" fontId="0" fillId="0" borderId="16" xfId="0" applyNumberFormat="1" applyBorder="1"/>
    <xf numFmtId="167" fontId="0" fillId="0" borderId="17" xfId="3" applyNumberFormat="1" applyFont="1" applyBorder="1"/>
    <xf numFmtId="0" fontId="0" fillId="0" borderId="18" xfId="0" applyBorder="1"/>
    <xf numFmtId="0" fontId="0" fillId="0" borderId="19" xfId="0" applyBorder="1"/>
    <xf numFmtId="0" fontId="1" fillId="9" borderId="0" xfId="0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7" fillId="4" borderId="5" xfId="0" applyFont="1" applyFill="1" applyBorder="1" applyAlignment="1">
      <alignment horizontal="center"/>
    </xf>
    <xf numFmtId="0" fontId="0" fillId="0" borderId="20" xfId="0" applyBorder="1"/>
    <xf numFmtId="10" fontId="0" fillId="0" borderId="5" xfId="3" applyNumberFormat="1" applyFont="1" applyBorder="1" applyAlignment="1">
      <alignment horizontal="center"/>
    </xf>
    <xf numFmtId="0" fontId="0" fillId="10" borderId="0" xfId="0" applyFill="1"/>
    <xf numFmtId="0" fontId="0" fillId="10" borderId="5" xfId="0" applyFill="1" applyBorder="1"/>
    <xf numFmtId="10" fontId="0" fillId="0" borderId="5" xfId="3" applyNumberFormat="1" applyFont="1" applyBorder="1" applyAlignment="1">
      <alignment horizontal="center" vertical="center"/>
    </xf>
    <xf numFmtId="168" fontId="0" fillId="0" borderId="5" xfId="0" applyNumberForma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68" fontId="0" fillId="0" borderId="5" xfId="3" applyNumberFormat="1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4" fillId="0" borderId="11" xfId="0" applyFont="1" applyBorder="1"/>
    <xf numFmtId="0" fontId="0" fillId="0" borderId="5" xfId="0" applyBorder="1" applyAlignment="1">
      <alignment horizontal="center" vertical="center"/>
    </xf>
    <xf numFmtId="169" fontId="12" fillId="0" borderId="5" xfId="0" applyNumberFormat="1" applyFont="1" applyBorder="1" applyAlignment="1">
      <alignment horizontal="center"/>
    </xf>
    <xf numFmtId="169" fontId="0" fillId="0" borderId="5" xfId="0" applyNumberFormat="1" applyBorder="1" applyAlignment="1">
      <alignment horizontal="center" vertical="center"/>
    </xf>
    <xf numFmtId="0" fontId="4" fillId="0" borderId="21" xfId="0" applyFont="1" applyBorder="1"/>
    <xf numFmtId="169" fontId="0" fillId="0" borderId="12" xfId="0" applyNumberFormat="1" applyBorder="1" applyAlignment="1">
      <alignment horizontal="center"/>
    </xf>
    <xf numFmtId="9" fontId="0" fillId="0" borderId="5" xfId="0" applyNumberFormat="1" applyBorder="1"/>
    <xf numFmtId="169" fontId="12" fillId="0" borderId="5" xfId="0" applyNumberFormat="1" applyFont="1" applyBorder="1" applyAlignment="1">
      <alignment horizontal="center" vertical="center"/>
    </xf>
    <xf numFmtId="0" fontId="4" fillId="0" borderId="12" xfId="0" applyFont="1" applyBorder="1"/>
    <xf numFmtId="0" fontId="6" fillId="0" borderId="11" xfId="0" applyFont="1" applyBorder="1"/>
    <xf numFmtId="0" fontId="6" fillId="0" borderId="21" xfId="0" applyFont="1" applyBorder="1"/>
    <xf numFmtId="0" fontId="6" fillId="0" borderId="5" xfId="0" applyFont="1" applyBorder="1"/>
    <xf numFmtId="43" fontId="0" fillId="0" borderId="5" xfId="2" applyFont="1" applyBorder="1" applyAlignment="1">
      <alignment horizontal="center" vertical="center"/>
    </xf>
    <xf numFmtId="43" fontId="0" fillId="0" borderId="5" xfId="2" applyFont="1" applyBorder="1" applyAlignment="1">
      <alignment horizontal="center"/>
    </xf>
    <xf numFmtId="170" fontId="0" fillId="0" borderId="5" xfId="0" applyNumberFormat="1" applyBorder="1"/>
    <xf numFmtId="164" fontId="0" fillId="0" borderId="0" xfId="0" applyNumberFormat="1"/>
    <xf numFmtId="171" fontId="0" fillId="0" borderId="5" xfId="2" applyNumberFormat="1" applyFont="1" applyBorder="1" applyAlignment="1">
      <alignment horizontal="center" vertical="center"/>
    </xf>
    <xf numFmtId="172" fontId="0" fillId="0" borderId="5" xfId="2" applyNumberFormat="1" applyFont="1" applyBorder="1" applyAlignment="1">
      <alignment horizontal="center" vertical="center"/>
    </xf>
    <xf numFmtId="172" fontId="0" fillId="0" borderId="5" xfId="3" applyNumberFormat="1" applyFont="1" applyBorder="1" applyAlignment="1">
      <alignment horizontal="center"/>
    </xf>
    <xf numFmtId="43" fontId="0" fillId="0" borderId="5" xfId="3" applyNumberFormat="1" applyFont="1" applyBorder="1" applyAlignment="1">
      <alignment horizontal="center"/>
    </xf>
    <xf numFmtId="171" fontId="0" fillId="0" borderId="5" xfId="3" applyNumberFormat="1" applyFont="1" applyBorder="1" applyAlignment="1">
      <alignment horizontal="center"/>
    </xf>
    <xf numFmtId="166" fontId="12" fillId="0" borderId="12" xfId="0" applyNumberFormat="1" applyFont="1" applyBorder="1"/>
    <xf numFmtId="0" fontId="0" fillId="0" borderId="5" xfId="0" applyBorder="1" applyAlignment="1">
      <alignment horizontal="center"/>
    </xf>
    <xf numFmtId="0" fontId="1" fillId="0" borderId="5" xfId="0" applyFont="1" applyBorder="1" applyAlignment="1">
      <alignment horizontal="center"/>
    </xf>
  </cellXfs>
  <cellStyles count="4">
    <cellStyle name="Milliers" xfId="2" builtinId="3"/>
    <cellStyle name="Normal" xfId="0" builtinId="0"/>
    <cellStyle name="Pourcentage" xfId="3" builtinId="5"/>
    <cellStyle name="Titre 1" xfId="1" builtinId="16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d'execution en fonction du nombre de pas</a:t>
            </a:r>
          </a:p>
          <a:p>
            <a:pPr>
              <a:defRPr/>
            </a:pP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172669275386848"/>
          <c:y val="0.21555422170479555"/>
          <c:w val="0.84451127564119011"/>
          <c:h val="0.6905844937319535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3.7219860721984729E-2"/>
                  <c:y val="2.63366594558157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Pricer!$C$31:$C$49</c:f>
              <c:numCache>
                <c:formatCode>General</c:formatCode>
                <c:ptCount val="1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</c:numCache>
            </c:numRef>
          </c:xVal>
          <c:yVal>
            <c:numRef>
              <c:f>Pricer!$D$31:$D$49</c:f>
              <c:numCache>
                <c:formatCode>General</c:formatCode>
                <c:ptCount val="19"/>
                <c:pt idx="0">
                  <c:v>2.0008087158203125E-3</c:v>
                </c:pt>
                <c:pt idx="1">
                  <c:v>3.9992332458496094E-3</c:v>
                </c:pt>
                <c:pt idx="2">
                  <c:v>9.0000629425048828E-3</c:v>
                </c:pt>
                <c:pt idx="3">
                  <c:v>1.6002416610717773E-2</c:v>
                </c:pt>
                <c:pt idx="4">
                  <c:v>2.0655199999999999E-2</c:v>
                </c:pt>
                <c:pt idx="5">
                  <c:v>3.9998769760131836E-2</c:v>
                </c:pt>
                <c:pt idx="6">
                  <c:v>5.4003000259399414E-2</c:v>
                </c:pt>
                <c:pt idx="7">
                  <c:v>5.7003498077392578E-2</c:v>
                </c:pt>
                <c:pt idx="8">
                  <c:v>7.6005697250366211E-2</c:v>
                </c:pt>
                <c:pt idx="9">
                  <c:v>9.3007087707519531E-2</c:v>
                </c:pt>
                <c:pt idx="10">
                  <c:v>0.43703269958496094</c:v>
                </c:pt>
                <c:pt idx="11">
                  <c:v>0.94757580757141113</c:v>
                </c:pt>
                <c:pt idx="12">
                  <c:v>1.7181289196014404</c:v>
                </c:pt>
                <c:pt idx="13">
                  <c:v>2.6131434440612793</c:v>
                </c:pt>
                <c:pt idx="14">
                  <c:v>3.5347025394439697</c:v>
                </c:pt>
                <c:pt idx="15">
                  <c:v>5.0550589561462402</c:v>
                </c:pt>
                <c:pt idx="16">
                  <c:v>6.6834731101989746</c:v>
                </c:pt>
                <c:pt idx="17">
                  <c:v>8.1483912467956543</c:v>
                </c:pt>
                <c:pt idx="18">
                  <c:v>10.372714996337891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E8-4403-9DF6-3B615D65F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99359"/>
        <c:axId val="705201439"/>
      </c:scatterChart>
      <c:valAx>
        <c:axId val="70519935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 de pas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201439"/>
        <c:crosses val="autoZero"/>
        <c:crossBetween val="midCat"/>
      </c:valAx>
      <c:valAx>
        <c:axId val="70520143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 Temps</a:t>
                </a:r>
                <a:r>
                  <a:rPr lang="fr-FR" baseline="0"/>
                  <a:t> d'execution en seconde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199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Erreur</a:t>
            </a:r>
            <a:r>
              <a:rPr lang="fr-FR" baseline="0"/>
              <a:t> en fonction du temps d'execution</a:t>
            </a:r>
          </a:p>
          <a:p>
            <a:pPr>
              <a:defRPr/>
            </a:pPr>
            <a:endParaRPr lang="fr-FR" baseline="0"/>
          </a:p>
          <a:p>
            <a:pPr>
              <a:defRPr/>
            </a:pP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417927652593677"/>
          <c:y val="0.12275388538885583"/>
          <c:w val="0.8381511156208683"/>
          <c:h val="0.74528088205471255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Pricer!$D$55:$D$73</c:f>
              <c:numCache>
                <c:formatCode>General</c:formatCode>
                <c:ptCount val="19"/>
                <c:pt idx="0">
                  <c:v>2.0017623901367188E-3</c:v>
                </c:pt>
                <c:pt idx="1">
                  <c:v>4.9993991851806641E-3</c:v>
                </c:pt>
                <c:pt idx="2">
                  <c:v>9.0014934539794922E-3</c:v>
                </c:pt>
                <c:pt idx="3">
                  <c:v>1.7999649047851563E-2</c:v>
                </c:pt>
                <c:pt idx="4">
                  <c:v>2.7000904083251953E-2</c:v>
                </c:pt>
                <c:pt idx="5">
                  <c:v>3.7003517150878906E-2</c:v>
                </c:pt>
                <c:pt idx="6">
                  <c:v>4.4003963470458984E-2</c:v>
                </c:pt>
                <c:pt idx="7">
                  <c:v>5.6004047393798828E-2</c:v>
                </c:pt>
                <c:pt idx="8">
                  <c:v>7.1004152297973633E-2</c:v>
                </c:pt>
                <c:pt idx="9">
                  <c:v>9.1006755828857422E-2</c:v>
                </c:pt>
                <c:pt idx="10">
                  <c:v>0.35602664947509766</c:v>
                </c:pt>
                <c:pt idx="11">
                  <c:v>1.7331299781799316</c:v>
                </c:pt>
                <c:pt idx="12">
                  <c:v>1.7691326141357422</c:v>
                </c:pt>
                <c:pt idx="13">
                  <c:v>2.50360107421875</c:v>
                </c:pt>
                <c:pt idx="14">
                  <c:v>3.7582030296325684</c:v>
                </c:pt>
                <c:pt idx="15">
                  <c:v>5.0298202037811279</c:v>
                </c:pt>
                <c:pt idx="16">
                  <c:v>6.7615077495574951</c:v>
                </c:pt>
                <c:pt idx="17">
                  <c:v>8.589838981628418</c:v>
                </c:pt>
                <c:pt idx="18">
                  <c:v>10.011206865310669</c:v>
                </c:pt>
              </c:numCache>
            </c:numRef>
          </c:xVal>
          <c:yVal>
            <c:numRef>
              <c:f>Pricer!$C$55:$C$73</c:f>
              <c:numCache>
                <c:formatCode>General</c:formatCode>
                <c:ptCount val="19"/>
                <c:pt idx="0">
                  <c:v>2.29664838008109E-2</c:v>
                </c:pt>
                <c:pt idx="1">
                  <c:v>3.0337391939904146E-3</c:v>
                </c:pt>
                <c:pt idx="2">
                  <c:v>6.9635713559031975E-3</c:v>
                </c:pt>
                <c:pt idx="3">
                  <c:v>4.3853545293615626E-3</c:v>
                </c:pt>
                <c:pt idx="4">
                  <c:v>8.5624718271536948E-3</c:v>
                </c:pt>
                <c:pt idx="5">
                  <c:v>3.8215282992792865E-3</c:v>
                </c:pt>
                <c:pt idx="6">
                  <c:v>2.609588779695915E-3</c:v>
                </c:pt>
                <c:pt idx="7">
                  <c:v>2.6778014999885857E-3</c:v>
                </c:pt>
                <c:pt idx="8">
                  <c:v>2.9747495624679043E-3</c:v>
                </c:pt>
                <c:pt idx="9">
                  <c:v>2.3943462242752012E-3</c:v>
                </c:pt>
                <c:pt idx="10">
                  <c:v>1.4902031740163801E-3</c:v>
                </c:pt>
                <c:pt idx="11">
                  <c:v>5.0000436892072564E-5</c:v>
                </c:pt>
                <c:pt idx="12">
                  <c:v>6.5626282124581214E-4</c:v>
                </c:pt>
                <c:pt idx="13">
                  <c:v>4.307864138388684E-4</c:v>
                </c:pt>
                <c:pt idx="14">
                  <c:v>4.6492370947687212E-4</c:v>
                </c:pt>
                <c:pt idx="15">
                  <c:v>2.9438795705205578E-4</c:v>
                </c:pt>
                <c:pt idx="16">
                  <c:v>9.0188119591050331E-5</c:v>
                </c:pt>
                <c:pt idx="17">
                  <c:v>2.0381136263825095E-4</c:v>
                </c:pt>
                <c:pt idx="18">
                  <c:v>3.8428548522162487E-4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7A-415F-BA14-10391EE67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940863"/>
        <c:axId val="712890479"/>
      </c:scatterChart>
      <c:valAx>
        <c:axId val="702940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 d'exeution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2890479"/>
        <c:crosses val="autoZero"/>
        <c:crossBetween val="midCat"/>
      </c:valAx>
      <c:valAx>
        <c:axId val="71289047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Erreur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2940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Gap</a:t>
            </a:r>
            <a:r>
              <a:rPr lang="fr-FR" b="1" baseline="0"/>
              <a:t> as function of strike</a:t>
            </a:r>
            <a:endParaRPr lang="fr-F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'Gap as function strike'!$B$1</c:f>
              <c:strCache>
                <c:ptCount val="1"/>
                <c:pt idx="0">
                  <c:v>VBA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as function strike'!$A$2:$A$17</c:f>
              <c:numCache>
                <c:formatCode>General</c:formatCode>
                <c:ptCount val="16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</c:numCache>
            </c:numRef>
          </c:cat>
          <c:val>
            <c:numRef>
              <c:f>'Gap as function strike'!$B$2:$B$17</c:f>
              <c:numCache>
                <c:formatCode>0.0000000</c:formatCode>
                <c:ptCount val="16"/>
                <c:pt idx="0">
                  <c:v>16.962570991292779</c:v>
                </c:pt>
                <c:pt idx="1">
                  <c:v>16.333056528378982</c:v>
                </c:pt>
                <c:pt idx="2">
                  <c:v>15.729181154075562</c:v>
                </c:pt>
                <c:pt idx="3">
                  <c:v>15.125305779772143</c:v>
                </c:pt>
                <c:pt idx="4">
                  <c:v>14.521430405468724</c:v>
                </c:pt>
                <c:pt idx="5">
                  <c:v>13.954415298698633</c:v>
                </c:pt>
                <c:pt idx="6">
                  <c:v>13.416394408680363</c:v>
                </c:pt>
                <c:pt idx="7">
                  <c:v>12.878373518662087</c:v>
                </c:pt>
                <c:pt idx="8">
                  <c:v>12.340352628643812</c:v>
                </c:pt>
                <c:pt idx="9">
                  <c:v>11.825998842261525</c:v>
                </c:pt>
                <c:pt idx="10">
                  <c:v>11.355421145374702</c:v>
                </c:pt>
                <c:pt idx="11">
                  <c:v>10.884843448487874</c:v>
                </c:pt>
                <c:pt idx="12">
                  <c:v>10.414265751601047</c:v>
                </c:pt>
                <c:pt idx="13">
                  <c:v>9.9436880547142206</c:v>
                </c:pt>
                <c:pt idx="14">
                  <c:v>9.5370653285484721</c:v>
                </c:pt>
                <c:pt idx="15">
                  <c:v>9.1334879964522457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6-405D-BAFE-BE65BB252952}"/>
            </c:ext>
          </c:extLst>
        </c:ser>
        <c:ser>
          <c:idx val="1"/>
          <c:order val="1"/>
          <c:tx>
            <c:strRef>
              <c:f>'Gap as function strike'!$C$1</c:f>
              <c:strCache>
                <c:ptCount val="1"/>
                <c:pt idx="0">
                  <c:v>B&amp;S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as function strike'!$A$2:$A$17</c:f>
              <c:numCache>
                <c:formatCode>General</c:formatCode>
                <c:ptCount val="16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</c:numCache>
            </c:numRef>
          </c:cat>
          <c:val>
            <c:numRef>
              <c:f>'Gap as function strike'!$C$2:$C$17</c:f>
              <c:numCache>
                <c:formatCode>0.0000000</c:formatCode>
                <c:ptCount val="16"/>
                <c:pt idx="0">
                  <c:v>16.971875781203494</c:v>
                </c:pt>
                <c:pt idx="1">
                  <c:v>16.337874983850554</c:v>
                </c:pt>
                <c:pt idx="2">
                  <c:v>15.719750142593753</c:v>
                </c:pt>
                <c:pt idx="3">
                  <c:v>15.117571142969759</c:v>
                </c:pt>
                <c:pt idx="4">
                  <c:v>14.531377341312606</c:v>
                </c:pt>
                <c:pt idx="5">
                  <c:v>13.96117831632769</c:v>
                </c:pt>
                <c:pt idx="6">
                  <c:v>13.406954755286655</c:v>
                </c:pt>
                <c:pt idx="7">
                  <c:v>12.868659459776339</c:v>
                </c:pt>
                <c:pt idx="8">
                  <c:v>12.346218455947152</c:v>
                </c:pt>
                <c:pt idx="9">
                  <c:v>11.839532194394089</c:v>
                </c:pt>
                <c:pt idx="10">
                  <c:v>11.348476825143521</c:v>
                </c:pt>
                <c:pt idx="11">
                  <c:v>10.872905533689746</c:v>
                </c:pt>
                <c:pt idx="12">
                  <c:v>10.412649924609177</c:v>
                </c:pt>
                <c:pt idx="13">
                  <c:v>9.9675214399541119</c:v>
                </c:pt>
                <c:pt idx="14">
                  <c:v>9.5373128003750622</c:v>
                </c:pt>
                <c:pt idx="15">
                  <c:v>9.1217994577240873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A6-405D-BAFE-BE65BB252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7154952"/>
        <c:axId val="987151344"/>
      </c:lineChart>
      <c:lineChart>
        <c:grouping val="standard"/>
        <c:varyColors val="0"/>
        <c:ser>
          <c:idx val="2"/>
          <c:order val="2"/>
          <c:tx>
            <c:strRef>
              <c:f>'Gap as function strike'!$D$1</c:f>
              <c:strCache>
                <c:ptCount val="1"/>
                <c:pt idx="0">
                  <c:v>Gap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'Gap as function strike'!$A$2:$A$17</c:f>
              <c:numCache>
                <c:formatCode>General</c:formatCode>
                <c:ptCount val="16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</c:numCache>
            </c:numRef>
          </c:cat>
          <c:val>
            <c:numRef>
              <c:f>'Gap as function strike'!$D$2:$D$17</c:f>
              <c:numCache>
                <c:formatCode>0.0000000</c:formatCode>
                <c:ptCount val="16"/>
                <c:pt idx="0">
                  <c:v>-9.3047899107148169E-3</c:v>
                </c:pt>
                <c:pt idx="1">
                  <c:v>-4.8184554715717809E-3</c:v>
                </c:pt>
                <c:pt idx="2">
                  <c:v>9.4310114818085822E-3</c:v>
                </c:pt>
                <c:pt idx="3">
                  <c:v>7.7346368023842871E-3</c:v>
                </c:pt>
                <c:pt idx="4">
                  <c:v>-9.9469358438817324E-3</c:v>
                </c:pt>
                <c:pt idx="5">
                  <c:v>-6.7630176290567334E-3</c:v>
                </c:pt>
                <c:pt idx="6">
                  <c:v>9.4396533937075588E-3</c:v>
                </c:pt>
                <c:pt idx="7">
                  <c:v>9.7140588857485E-3</c:v>
                </c:pt>
                <c:pt idx="8">
                  <c:v>-5.8658273033405095E-3</c:v>
                </c:pt>
                <c:pt idx="9">
                  <c:v>-1.3533352132563792E-2</c:v>
                </c:pt>
                <c:pt idx="10">
                  <c:v>6.9443202311809671E-3</c:v>
                </c:pt>
                <c:pt idx="11">
                  <c:v>1.1937914798128446E-2</c:v>
                </c:pt>
                <c:pt idx="12">
                  <c:v>1.6158269918697954E-3</c:v>
                </c:pt>
                <c:pt idx="13">
                  <c:v>-2.3833385239891314E-2</c:v>
                </c:pt>
                <c:pt idx="14">
                  <c:v>-2.4747182659012879E-4</c:v>
                </c:pt>
                <c:pt idx="15">
                  <c:v>1.1688538728158449E-2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A6-405D-BAFE-BE65BB252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7171680"/>
        <c:axId val="987166104"/>
      </c:lineChart>
      <c:catAx>
        <c:axId val="987154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7151344"/>
        <c:crosses val="autoZero"/>
        <c:auto val="1"/>
        <c:lblAlgn val="ctr"/>
        <c:lblOffset val="100"/>
        <c:noMultiLvlLbl val="0"/>
      </c:catAx>
      <c:valAx>
        <c:axId val="98715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7154952"/>
        <c:crosses val="autoZero"/>
        <c:crossBetween val="between"/>
      </c:valAx>
      <c:valAx>
        <c:axId val="987166104"/>
        <c:scaling>
          <c:orientation val="minMax"/>
        </c:scaling>
        <c:delete val="0"/>
        <c:axPos val="r"/>
        <c:numFmt formatCode="0.0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7171680"/>
        <c:crosses val="max"/>
        <c:crossBetween val="between"/>
      </c:valAx>
      <c:catAx>
        <c:axId val="987171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871661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Delta</a:t>
            </a:r>
            <a:r>
              <a:rPr lang="en-US" b="1" baseline="0"/>
              <a:t> Trinomial VS B&amp;S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'Greeks comparison'!$B$1</c:f>
              <c:strCache>
                <c:ptCount val="1"/>
                <c:pt idx="0">
                  <c:v>Delta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comparison'!$B$2:$B$12</c:f>
              <c:numCache>
                <c:formatCode>0.00%</c:formatCode>
                <c:ptCount val="11"/>
                <c:pt idx="0">
                  <c:v>0.99873223096977881</c:v>
                </c:pt>
                <c:pt idx="1">
                  <c:v>0.98870270425024387</c:v>
                </c:pt>
                <c:pt idx="2">
                  <c:v>0.95199265636658481</c:v>
                </c:pt>
                <c:pt idx="3">
                  <c:v>0.87937889451623619</c:v>
                </c:pt>
                <c:pt idx="4">
                  <c:v>0.75151806565649792</c:v>
                </c:pt>
                <c:pt idx="5">
                  <c:v>0.57403465321090863</c:v>
                </c:pt>
                <c:pt idx="6">
                  <c:v>0.42747384135983779</c:v>
                </c:pt>
                <c:pt idx="7">
                  <c:v>0.33391867780476758</c:v>
                </c:pt>
                <c:pt idx="8">
                  <c:v>0.21226768949984542</c:v>
                </c:pt>
                <c:pt idx="9">
                  <c:v>0.148039045027204</c:v>
                </c:pt>
                <c:pt idx="10">
                  <c:v>7.8632624560992515E-2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7-4D6D-B29D-F30FB243A846}"/>
            </c:ext>
          </c:extLst>
        </c:ser>
        <c:ser>
          <c:idx val="1"/>
          <c:order val="1"/>
          <c:tx>
            <c:strRef>
              <c:f>'Greeks comparison'!$E$1</c:f>
              <c:strCache>
                <c:ptCount val="1"/>
                <c:pt idx="0">
                  <c:v>Delta B&amp;S</c:v>
                </c:pt>
              </c:strCache>
            </c:strRef>
          </c:tx>
          <c:spPr>
            <a:ln w="9525" cap="flat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comparison'!$E$2:$E$12</c:f>
              <c:numCache>
                <c:formatCode>0.00%</c:formatCode>
                <c:ptCount val="11"/>
                <c:pt idx="0">
                  <c:v>0.99872602778033648</c:v>
                </c:pt>
                <c:pt idx="1">
                  <c:v>0.98894004434042515</c:v>
                </c:pt>
                <c:pt idx="2">
                  <c:v>0.95270823079959233</c:v>
                </c:pt>
                <c:pt idx="3">
                  <c:v>0.87235083865091234</c:v>
                </c:pt>
                <c:pt idx="4">
                  <c:v>0.74743570777055557</c:v>
                </c:pt>
                <c:pt idx="5">
                  <c:v>0.59677178432052447</c:v>
                </c:pt>
                <c:pt idx="6">
                  <c:v>0.44581549298709733</c:v>
                </c:pt>
                <c:pt idx="7">
                  <c:v>0.31409137453559827</c:v>
                </c:pt>
                <c:pt idx="8">
                  <c:v>0.21056653002964029</c:v>
                </c:pt>
                <c:pt idx="9">
                  <c:v>0.13547249669785724</c:v>
                </c:pt>
                <c:pt idx="10">
                  <c:v>8.4277701221185747E-2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7-4D6D-B29D-F30FB243A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481472"/>
        <c:axId val="974482128"/>
      </c:lineChart>
      <c:catAx>
        <c:axId val="97448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4482128"/>
        <c:crosses val="autoZero"/>
        <c:auto val="1"/>
        <c:lblAlgn val="ctr"/>
        <c:lblOffset val="100"/>
        <c:noMultiLvlLbl val="0"/>
      </c:catAx>
      <c:valAx>
        <c:axId val="97448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448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Gamma</a:t>
            </a:r>
            <a:r>
              <a:rPr lang="en-US" b="1" baseline="0"/>
              <a:t> Trinomial VS B&amp;S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'Greeks comparison'!$C$1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comparison'!$C$2:$C$12</c:f>
              <c:numCache>
                <c:formatCode>_(* #,##0.0000_);_(* \(#,##0.0000\);_(* "-"??_);_(@_)</c:formatCode>
                <c:ptCount val="11"/>
                <c:pt idx="0">
                  <c:v>-1.1368683772161603E-13</c:v>
                </c:pt>
                <c:pt idx="1">
                  <c:v>0</c:v>
                </c:pt>
                <c:pt idx="2">
                  <c:v>0</c:v>
                </c:pt>
                <c:pt idx="3">
                  <c:v>5.6843418860808015E-14</c:v>
                </c:pt>
                <c:pt idx="4">
                  <c:v>-1.1368683772161603E-13</c:v>
                </c:pt>
                <c:pt idx="5">
                  <c:v>8.0581565755423412E-2</c:v>
                </c:pt>
                <c:pt idx="6">
                  <c:v>2.3784669458599694E-2</c:v>
                </c:pt>
                <c:pt idx="7">
                  <c:v>6.0597438734610876E-2</c:v>
                </c:pt>
                <c:pt idx="8">
                  <c:v>7.460698725481052E-14</c:v>
                </c:pt>
                <c:pt idx="9">
                  <c:v>4.0354605468570171E-2</c:v>
                </c:pt>
                <c:pt idx="10">
                  <c:v>5.1514348342607263E-14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6-47CD-86DE-9B2A1B205E74}"/>
            </c:ext>
          </c:extLst>
        </c:ser>
        <c:ser>
          <c:idx val="1"/>
          <c:order val="1"/>
          <c:tx>
            <c:strRef>
              <c:f>'Greeks comparison'!$F$1</c:f>
              <c:strCache>
                <c:ptCount val="1"/>
                <c:pt idx="0">
                  <c:v>Gamma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comparison'!$F$2:$F$12</c:f>
              <c:numCache>
                <c:formatCode>_(* #,##0.0000_);_(* \(#,##0.0000\);_(* "-"??_);_(@_)</c:formatCode>
                <c:ptCount val="11"/>
                <c:pt idx="0">
                  <c:v>1.6813636584280114E-4</c:v>
                </c:pt>
                <c:pt idx="1">
                  <c:v>1.163900385816027E-3</c:v>
                </c:pt>
                <c:pt idx="2">
                  <c:v>3.9457965620298676E-3</c:v>
                </c:pt>
                <c:pt idx="3">
                  <c:v>8.3553611328701476E-3</c:v>
                </c:pt>
                <c:pt idx="4">
                  <c:v>1.2779833356758794E-2</c:v>
                </c:pt>
                <c:pt idx="5">
                  <c:v>1.5485876591701841E-2</c:v>
                </c:pt>
                <c:pt idx="6">
                  <c:v>1.5810276723293798E-2</c:v>
                </c:pt>
                <c:pt idx="7">
                  <c:v>1.4191942102803121E-2</c:v>
                </c:pt>
                <c:pt idx="8">
                  <c:v>1.1546303493971542E-2</c:v>
                </c:pt>
                <c:pt idx="9">
                  <c:v>8.7055668135628157E-3</c:v>
                </c:pt>
                <c:pt idx="10">
                  <c:v>6.1846387438686656E-3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6-47CD-86DE-9B2A1B205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481472"/>
        <c:axId val="974482128"/>
      </c:lineChart>
      <c:catAx>
        <c:axId val="97448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4482128"/>
        <c:crosses val="autoZero"/>
        <c:auto val="1"/>
        <c:lblAlgn val="ctr"/>
        <c:lblOffset val="100"/>
        <c:noMultiLvlLbl val="0"/>
      </c:catAx>
      <c:valAx>
        <c:axId val="97448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448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Gaps greeks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cked"/>
        <c:varyColors val="0"/>
        <c:ser>
          <c:idx val="1"/>
          <c:order val="0"/>
          <c:tx>
            <c:strRef>
              <c:f>'Greeks comparison'!$H$1</c:f>
              <c:strCache>
                <c:ptCount val="1"/>
                <c:pt idx="0">
                  <c:v>Gap Delta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comparison'!$H$2:$H$12</c:f>
              <c:numCache>
                <c:formatCode>0.0000%</c:formatCode>
                <c:ptCount val="11"/>
                <c:pt idx="0">
                  <c:v>6.2111022140072484E-6</c:v>
                </c:pt>
                <c:pt idx="1">
                  <c:v>-2.3999441780070291E-4</c:v>
                </c:pt>
                <c:pt idx="2">
                  <c:v>-7.51095046598837E-4</c:v>
                </c:pt>
                <c:pt idx="3">
                  <c:v>8.0564556757837368E-3</c:v>
                </c:pt>
                <c:pt idx="4">
                  <c:v>5.4618181115793571E-3</c:v>
                </c:pt>
                <c:pt idx="5">
                  <c:v>-3.8100211348805639E-2</c:v>
                </c:pt>
                <c:pt idx="6">
                  <c:v>-4.114179950177365E-2</c:v>
                </c:pt>
                <c:pt idx="7">
                  <c:v>6.3125908180334769E-2</c:v>
                </c:pt>
                <c:pt idx="8">
                  <c:v>8.078964258781629E-3</c:v>
                </c:pt>
                <c:pt idx="9">
                  <c:v>9.276088236104324E-2</c:v>
                </c:pt>
                <c:pt idx="10">
                  <c:v>-6.6981853780963968E-2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9-4A82-870E-FC49C86F0DFD}"/>
            </c:ext>
          </c:extLst>
        </c:ser>
        <c:ser>
          <c:idx val="2"/>
          <c:order val="1"/>
          <c:tx>
            <c:strRef>
              <c:f>'Greeks comparison'!$I$1</c:f>
              <c:strCache>
                <c:ptCount val="1"/>
                <c:pt idx="0">
                  <c:v>Gap Gamma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comparison'!$I$2:$I$12</c:f>
              <c:numCache>
                <c:formatCode>_(* #,##0.000_);_(* \(#,##0.000\);_(* "-"??_);_(@_)</c:formatCode>
                <c:ptCount val="11"/>
                <c:pt idx="0">
                  <c:v>1.6813636595648798E-4</c:v>
                </c:pt>
                <c:pt idx="1">
                  <c:v>1.163900385816027E-3</c:v>
                </c:pt>
                <c:pt idx="2">
                  <c:v>3.9457965620298676E-3</c:v>
                </c:pt>
                <c:pt idx="3">
                  <c:v>8.3553611328133041E-3</c:v>
                </c:pt>
                <c:pt idx="4">
                  <c:v>1.277983335687248E-2</c:v>
                </c:pt>
                <c:pt idx="5">
                  <c:v>-6.5095689163721576E-2</c:v>
                </c:pt>
                <c:pt idx="6">
                  <c:v>-7.9743927353058963E-3</c:v>
                </c:pt>
                <c:pt idx="7">
                  <c:v>-4.6405496631807756E-2</c:v>
                </c:pt>
                <c:pt idx="8">
                  <c:v>1.1546303493896935E-2</c:v>
                </c:pt>
                <c:pt idx="9">
                  <c:v>-3.1649038655007358E-2</c:v>
                </c:pt>
                <c:pt idx="10">
                  <c:v>6.1846387438171512E-3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29-4A82-870E-FC49C86F0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924232"/>
        <c:axId val="786925544"/>
      </c:lineChart>
      <c:lineChart>
        <c:grouping val="stacked"/>
        <c:varyColors val="0"/>
        <c:ser>
          <c:idx val="0"/>
          <c:order val="2"/>
          <c:tx>
            <c:strRef>
              <c:f>'Greeks comparison'!$J$1</c:f>
              <c:strCache>
                <c:ptCount val="1"/>
                <c:pt idx="0">
                  <c:v>Gap 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'Greeks comparison'!$J$2:$J$12</c:f>
              <c:numCache>
                <c:formatCode>_(* #,##0.000_);_(* \(#,##0.000\);_(* "-"??_);_(@_)</c:formatCode>
                <c:ptCount val="11"/>
                <c:pt idx="0">
                  <c:v>-3.3784849097495584E-3</c:v>
                </c:pt>
                <c:pt idx="1">
                  <c:v>-5.3349589500853334E-2</c:v>
                </c:pt>
                <c:pt idx="2">
                  <c:v>-0.1172591855938574</c:v>
                </c:pt>
                <c:pt idx="3">
                  <c:v>0.70732143674363357</c:v>
                </c:pt>
                <c:pt idx="4">
                  <c:v>0.20180439346037105</c:v>
                </c:pt>
                <c:pt idx="5">
                  <c:v>-0.23013091012052911</c:v>
                </c:pt>
                <c:pt idx="6">
                  <c:v>0.49383022389235975</c:v>
                </c:pt>
                <c:pt idx="7">
                  <c:v>-1.1733857752372998</c:v>
                </c:pt>
                <c:pt idx="8">
                  <c:v>-0.17270979226941563</c:v>
                </c:pt>
                <c:pt idx="9">
                  <c:v>-1.515616264055911</c:v>
                </c:pt>
                <c:pt idx="10">
                  <c:v>0.84472192399490353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DD-43E0-8FF4-A74F921CB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0906856"/>
        <c:axId val="1000914728"/>
      </c:lineChart>
      <c:catAx>
        <c:axId val="786924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6925544"/>
        <c:crosses val="autoZero"/>
        <c:auto val="1"/>
        <c:lblAlgn val="ctr"/>
        <c:lblOffset val="100"/>
        <c:noMultiLvlLbl val="0"/>
      </c:catAx>
      <c:valAx>
        <c:axId val="78692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6924232"/>
        <c:crosses val="autoZero"/>
        <c:crossBetween val="between"/>
      </c:valAx>
      <c:valAx>
        <c:axId val="1000914728"/>
        <c:scaling>
          <c:orientation val="minMax"/>
        </c:scaling>
        <c:delete val="0"/>
        <c:axPos val="r"/>
        <c:numFmt formatCode="_(* #,##0.000_);_(* \(#,##0.0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0906856"/>
        <c:crosses val="max"/>
        <c:crossBetween val="between"/>
      </c:valAx>
      <c:catAx>
        <c:axId val="1000906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000914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Vega</a:t>
            </a:r>
            <a:r>
              <a:rPr lang="en-US" b="1" baseline="0"/>
              <a:t> Trinomial VS B&amp;S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'Greeks comparison'!$D$1</c:f>
              <c:strCache>
                <c:ptCount val="1"/>
                <c:pt idx="0">
                  <c:v>Vega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comparison'!$D$2:$D$12</c:f>
              <c:numCache>
                <c:formatCode>_(* #,##0.00_);_(* \(#,##0.00\);_(* "-"??_);_(@_)</c:formatCode>
                <c:ptCount val="11"/>
                <c:pt idx="0">
                  <c:v>0.41892079917005276</c:v>
                </c:pt>
                <c:pt idx="1">
                  <c:v>2.9631005540409205</c:v>
                </c:pt>
                <c:pt idx="2">
                  <c:v>9.9817505906685255</c:v>
                </c:pt>
                <c:pt idx="3">
                  <c:v>20.181081395431733</c:v>
                </c:pt>
                <c:pt idx="4">
                  <c:v>31.747778998436615</c:v>
                </c:pt>
                <c:pt idx="5">
                  <c:v>38.944822389375133</c:v>
                </c:pt>
                <c:pt idx="6">
                  <c:v>39.031861584342131</c:v>
                </c:pt>
                <c:pt idx="7">
                  <c:v>36.653241032245099</c:v>
                </c:pt>
                <c:pt idx="8">
                  <c:v>29.038468527198269</c:v>
                </c:pt>
                <c:pt idx="9">
                  <c:v>23.279533297962949</c:v>
                </c:pt>
                <c:pt idx="10">
                  <c:v>14.61687493567676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57-4FBC-8D99-CB38F31E0117}"/>
            </c:ext>
          </c:extLst>
        </c:ser>
        <c:ser>
          <c:idx val="1"/>
          <c:order val="1"/>
          <c:tx>
            <c:strRef>
              <c:f>'Greeks comparison'!$G$1</c:f>
              <c:strCache>
                <c:ptCount val="1"/>
                <c:pt idx="0">
                  <c:v>Vega B&amp;S</c:v>
                </c:pt>
              </c:strCache>
            </c:strRef>
          </c:tx>
          <c:spPr>
            <a:ln w="9525" cap="flat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comparison'!$G$2:$G$12</c:f>
              <c:numCache>
                <c:formatCode>_(* #,##0.00_);_(* \(#,##0.00\);_(* "-"??_);_(@_)</c:formatCode>
                <c:ptCount val="11"/>
                <c:pt idx="0">
                  <c:v>0.42034091460700285</c:v>
                </c:pt>
                <c:pt idx="1">
                  <c:v>2.9097509645400672</c:v>
                </c:pt>
                <c:pt idx="2">
                  <c:v>9.8644914050746682</c:v>
                </c:pt>
                <c:pt idx="3">
                  <c:v>20.888402832175366</c:v>
                </c:pt>
                <c:pt idx="4">
                  <c:v>31.949583391896986</c:v>
                </c:pt>
                <c:pt idx="5">
                  <c:v>38.714691479254604</c:v>
                </c:pt>
                <c:pt idx="6">
                  <c:v>39.525691808234491</c:v>
                </c:pt>
                <c:pt idx="7">
                  <c:v>35.479855257007799</c:v>
                </c:pt>
                <c:pt idx="8">
                  <c:v>28.865758734928853</c:v>
                </c:pt>
                <c:pt idx="9">
                  <c:v>21.763917033907038</c:v>
                </c:pt>
                <c:pt idx="10">
                  <c:v>15.461596859671664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57-4FBC-8D99-CB38F31E0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481472"/>
        <c:axId val="974482128"/>
      </c:lineChart>
      <c:catAx>
        <c:axId val="97448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4482128"/>
        <c:crosses val="autoZero"/>
        <c:auto val="1"/>
        <c:lblAlgn val="ctr"/>
        <c:lblOffset val="100"/>
        <c:noMultiLvlLbl val="0"/>
      </c:catAx>
      <c:valAx>
        <c:axId val="97448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448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(Tree-BS)*Steps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'Result Tree-BS'!$D$1</c:f>
              <c:strCache>
                <c:ptCount val="1"/>
                <c:pt idx="0">
                  <c:v>(Tree-BS)*Steps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'Result Tree-BS'!$A$2:$A$22</c:f>
              <c:numCache>
                <c:formatCode>General</c:formatCode>
                <c:ptCount val="2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2000</c:v>
                </c:pt>
              </c:numCache>
            </c:numRef>
          </c:xVal>
          <c:yVal>
            <c:numRef>
              <c:f>'Result Tree-BS'!$D$2:$D$22</c:f>
              <c:numCache>
                <c:formatCode>0.000</c:formatCode>
                <c:ptCount val="21"/>
                <c:pt idx="0">
                  <c:v>0.66288184337556011</c:v>
                </c:pt>
                <c:pt idx="1">
                  <c:v>-0.14407982277684361</c:v>
                </c:pt>
                <c:pt idx="2">
                  <c:v>-0.51971780877613227</c:v>
                </c:pt>
                <c:pt idx="3">
                  <c:v>0.84547594226367373</c:v>
                </c:pt>
                <c:pt idx="4">
                  <c:v>0.77717732881374957</c:v>
                </c:pt>
                <c:pt idx="5">
                  <c:v>-1.8515445637378392</c:v>
                </c:pt>
                <c:pt idx="6">
                  <c:v>0.49629907445698507</c:v>
                </c:pt>
                <c:pt idx="7">
                  <c:v>0.89000343830303308</c:v>
                </c:pt>
                <c:pt idx="8">
                  <c:v>-0.23695572551840627</c:v>
                </c:pt>
                <c:pt idx="9">
                  <c:v>-1.392873162195496</c:v>
                </c:pt>
                <c:pt idx="10">
                  <c:v>0.28616103910081847</c:v>
                </c:pt>
                <c:pt idx="11">
                  <c:v>0.93242960692974108</c:v>
                </c:pt>
                <c:pt idx="12">
                  <c:v>0.71041226697854398</c:v>
                </c:pt>
                <c:pt idx="13">
                  <c:v>-0.25465500648245154</c:v>
                </c:pt>
                <c:pt idx="14">
                  <c:v>-1.8648666620727283</c:v>
                </c:pt>
                <c:pt idx="15">
                  <c:v>-0.39045357944686998</c:v>
                </c:pt>
                <c:pt idx="16">
                  <c:v>0.56091406532665644</c:v>
                </c:pt>
                <c:pt idx="17">
                  <c:v>0.94073811912398497</c:v>
                </c:pt>
                <c:pt idx="18">
                  <c:v>0.80403995402491546</c:v>
                </c:pt>
                <c:pt idx="19">
                  <c:v>0.19760381359619217</c:v>
                </c:pt>
                <c:pt idx="20">
                  <c:v>-0.37357253644465516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35-4C93-9EA7-5FA69E9C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986808"/>
        <c:axId val="525988448"/>
      </c:scatterChart>
      <c:valAx>
        <c:axId val="525986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5988448"/>
        <c:crosses val="autoZero"/>
        <c:crossBetween val="midCat"/>
      </c:valAx>
      <c:valAx>
        <c:axId val="52598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5986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Ordre de l'algorithme VBA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'Result Tree-BS'!$C$1</c:f>
              <c:strCache>
                <c:ptCount val="1"/>
                <c:pt idx="0">
                  <c:v>Time elapsed VBA (s)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0.19241710411198601"/>
                  <c:y val="-1.89351851851852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'Result Tree-BS'!$A$2:$A$22</c:f>
              <c:numCache>
                <c:formatCode>General</c:formatCode>
                <c:ptCount val="2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2000</c:v>
                </c:pt>
              </c:numCache>
            </c:numRef>
          </c:xVal>
          <c:yVal>
            <c:numRef>
              <c:f>'Result Tree-BS'!$C$2:$C$22</c:f>
              <c:numCache>
                <c:formatCode>0.000</c:formatCode>
                <c:ptCount val="21"/>
                <c:pt idx="0">
                  <c:v>1E-3</c:v>
                </c:pt>
                <c:pt idx="1">
                  <c:v>3.90625E-2</c:v>
                </c:pt>
                <c:pt idx="2">
                  <c:v>0.1328125</c:v>
                </c:pt>
                <c:pt idx="3">
                  <c:v>0.282989501953125</c:v>
                </c:pt>
                <c:pt idx="4">
                  <c:v>0.510009765625</c:v>
                </c:pt>
                <c:pt idx="5">
                  <c:v>1.1090087890625</c:v>
                </c:pt>
                <c:pt idx="6">
                  <c:v>1.72003173828125</c:v>
                </c:pt>
                <c:pt idx="7">
                  <c:v>2.6800537109375</c:v>
                </c:pt>
                <c:pt idx="8">
                  <c:v>3.8399658203125</c:v>
                </c:pt>
                <c:pt idx="9">
                  <c:v>5.3399658203125</c:v>
                </c:pt>
                <c:pt idx="10">
                  <c:v>6.989990234375</c:v>
                </c:pt>
                <c:pt idx="11">
                  <c:v>9.1300048828125</c:v>
                </c:pt>
                <c:pt idx="12">
                  <c:v>11.0599365234375</c:v>
                </c:pt>
                <c:pt idx="13">
                  <c:v>13.4599609375</c:v>
                </c:pt>
                <c:pt idx="14">
                  <c:v>16.050048828125</c:v>
                </c:pt>
                <c:pt idx="15">
                  <c:v>18.2030029296875</c:v>
                </c:pt>
                <c:pt idx="16">
                  <c:v>22.333984375</c:v>
                </c:pt>
                <c:pt idx="17">
                  <c:v>24.6640625</c:v>
                </c:pt>
                <c:pt idx="18">
                  <c:v>28.247802734375</c:v>
                </c:pt>
                <c:pt idx="19">
                  <c:v>31.632080078125</c:v>
                </c:pt>
                <c:pt idx="20">
                  <c:v>44.22998046875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C7-40FB-9A8B-5300FAB53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844495"/>
        <c:axId val="1226848431"/>
      </c:scatterChart>
      <c:valAx>
        <c:axId val="122684449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6848431"/>
        <c:crosses val="autoZero"/>
        <c:crossBetween val="midCat"/>
      </c:valAx>
      <c:valAx>
        <c:axId val="122684843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6844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Convergence</a:t>
            </a:r>
            <a:r>
              <a:rPr lang="fr-FR" b="1" baseline="0"/>
              <a:t> vers B&amp;S</a:t>
            </a:r>
            <a:endParaRPr lang="fr-F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'Result Tree-BS'!$B$1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'Result Tree-BS'!$A$2:$A$22</c:f>
              <c:numCache>
                <c:formatCode>General</c:formatCode>
                <c:ptCount val="2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2000</c:v>
                </c:pt>
              </c:numCache>
            </c:numRef>
          </c:cat>
          <c:val>
            <c:numRef>
              <c:f>'Result Tree-BS'!$B$2:$B$22</c:f>
              <c:numCache>
                <c:formatCode>0.000</c:formatCode>
                <c:ptCount val="21"/>
                <c:pt idx="0">
                  <c:v>6.0680606226116796</c:v>
                </c:pt>
                <c:pt idx="1">
                  <c:v>5.9988908418185867</c:v>
                </c:pt>
                <c:pt idx="2">
                  <c:v>5.9965752601863622</c:v>
                </c:pt>
                <c:pt idx="3">
                  <c:v>6.0074089445558814</c:v>
                </c:pt>
                <c:pt idx="4">
                  <c:v>6.0056583249181923</c:v>
                </c:pt>
                <c:pt idx="5">
                  <c:v>5.9956006230616641</c:v>
                </c:pt>
                <c:pt idx="6">
                  <c:v>6.003013185960266</c:v>
                </c:pt>
                <c:pt idx="7">
                  <c:v>6.0035524451507296</c:v>
                </c:pt>
                <c:pt idx="8">
                  <c:v>6.0013775120649262</c:v>
                </c:pt>
                <c:pt idx="9">
                  <c:v>5.9997826194709871</c:v>
                </c:pt>
                <c:pt idx="10">
                  <c:v>6.0021301395729996</c:v>
                </c:pt>
                <c:pt idx="11">
                  <c:v>6.0028084711707121</c:v>
                </c:pt>
                <c:pt idx="12">
                  <c:v>6.0024828505411021</c:v>
                </c:pt>
                <c:pt idx="13">
                  <c:v>6.0015409337227759</c:v>
                </c:pt>
                <c:pt idx="14">
                  <c:v>6.0002183827223963</c:v>
                </c:pt>
                <c:pt idx="15">
                  <c:v>6.0014720893668567</c:v>
                </c:pt>
                <c:pt idx="16">
                  <c:v>6.0021730911779283</c:v>
                </c:pt>
                <c:pt idx="17">
                  <c:v>6.0023995970202062</c:v>
                </c:pt>
                <c:pt idx="18">
                  <c:v>6.0022749632453891</c:v>
                </c:pt>
                <c:pt idx="19">
                  <c:v>6.0018886758115331</c:v>
                </c:pt>
                <c:pt idx="20">
                  <c:v>6.0015856520059012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0-4576-9517-4EC865A0C245}"/>
            </c:ext>
          </c:extLst>
        </c:ser>
        <c:ser>
          <c:idx val="0"/>
          <c:order val="1"/>
          <c:tx>
            <c:strRef>
              <c:f>'Result Tree-BS'!$I$12</c:f>
              <c:strCache>
                <c:ptCount val="1"/>
                <c:pt idx="0">
                  <c:v>Black Scholes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'Result Tree-BS'!$A$2:$A$22</c:f>
              <c:numCache>
                <c:formatCode>General</c:formatCode>
                <c:ptCount val="2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2000</c:v>
                </c:pt>
              </c:numCache>
            </c:numRef>
          </c:cat>
          <c:val>
            <c:numRef>
              <c:f>'Result Tree-BS'!$E$2:$E$22</c:f>
              <c:numCache>
                <c:formatCode>0.0000</c:formatCode>
                <c:ptCount val="21"/>
                <c:pt idx="0">
                  <c:v>6.0017724382741235</c:v>
                </c:pt>
                <c:pt idx="1">
                  <c:v>6.0017724382741235</c:v>
                </c:pt>
                <c:pt idx="2">
                  <c:v>6.0017724382741235</c:v>
                </c:pt>
                <c:pt idx="3">
                  <c:v>6.0017724382741235</c:v>
                </c:pt>
                <c:pt idx="4">
                  <c:v>6.0017724382741235</c:v>
                </c:pt>
                <c:pt idx="5">
                  <c:v>6.0017724382741235</c:v>
                </c:pt>
                <c:pt idx="6">
                  <c:v>6.0017724382741235</c:v>
                </c:pt>
                <c:pt idx="7">
                  <c:v>6.0017724382741235</c:v>
                </c:pt>
                <c:pt idx="8">
                  <c:v>6.0017724382741235</c:v>
                </c:pt>
                <c:pt idx="9">
                  <c:v>6.0017724382741235</c:v>
                </c:pt>
                <c:pt idx="10">
                  <c:v>6.0017724382741235</c:v>
                </c:pt>
                <c:pt idx="11">
                  <c:v>6.0017724382741235</c:v>
                </c:pt>
                <c:pt idx="12">
                  <c:v>6.0017724382741235</c:v>
                </c:pt>
                <c:pt idx="13">
                  <c:v>6.0017724382741235</c:v>
                </c:pt>
                <c:pt idx="14">
                  <c:v>6.0017724382741235</c:v>
                </c:pt>
                <c:pt idx="15">
                  <c:v>6.0017724382741235</c:v>
                </c:pt>
                <c:pt idx="16">
                  <c:v>6.0017724382741235</c:v>
                </c:pt>
                <c:pt idx="17">
                  <c:v>6.0017724382741235</c:v>
                </c:pt>
                <c:pt idx="18">
                  <c:v>6.0017724382741235</c:v>
                </c:pt>
                <c:pt idx="19">
                  <c:v>6.0017724382741235</c:v>
                </c:pt>
                <c:pt idx="20">
                  <c:v>6.0017724382741235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0-4576-9517-4EC865A0C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67664"/>
        <c:axId val="108277504"/>
      </c:lineChart>
      <c:catAx>
        <c:axId val="10826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277504"/>
        <c:crosses val="autoZero"/>
        <c:auto val="1"/>
        <c:lblAlgn val="ctr"/>
        <c:lblOffset val="100"/>
        <c:noMultiLvlLbl val="0"/>
      </c:catAx>
      <c:valAx>
        <c:axId val="10827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26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851268591426075"/>
          <c:y val="0.42187445319335082"/>
          <c:w val="0.27482064741907264"/>
          <c:h val="0.17476961213181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185056</xdr:colOff>
      <xdr:row>28</xdr:row>
      <xdr:rowOff>163285</xdr:rowOff>
    </xdr:from>
    <xdr:to>
      <xdr:col>16</xdr:col>
      <xdr:colOff>228599</xdr:colOff>
      <xdr:row>47</xdr:row>
      <xdr:rowOff>54428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206827</xdr:colOff>
      <xdr:row>53</xdr:row>
      <xdr:rowOff>10886</xdr:rowOff>
    </xdr:from>
    <xdr:to>
      <xdr:col>16</xdr:col>
      <xdr:colOff>228599</xdr:colOff>
      <xdr:row>72</xdr:row>
      <xdr:rowOff>168729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336176</xdr:colOff>
      <xdr:row>19</xdr:row>
      <xdr:rowOff>100852</xdr:rowOff>
    </xdr:from>
    <xdr:to>
      <xdr:col>15</xdr:col>
      <xdr:colOff>67235</xdr:colOff>
      <xdr:row>23</xdr:row>
      <xdr:rowOff>11205</xdr:rowOff>
    </xdr:to>
    <xdr:sp macro="[0]!Price_opt" textlink="">
      <xdr:nvSpPr>
        <xdr:cNvPr id="4" name="Rectangle 3">
          <a:extLst>
            <a:ext uri="{FF2B5EF4-FFF2-40B4-BE49-F238E27FC236}">
              <a16:creationId xmlns:a16="http://schemas.microsoft.com/office/drawing/2014/main" id="{7EAE5D76-6F3F-D8BE-5E36-7099396B245D}"/>
            </a:ext>
          </a:extLst>
        </xdr:cNvPr>
        <xdr:cNvSpPr/>
      </xdr:nvSpPr>
      <xdr:spPr>
        <a:xfrm>
          <a:off x="8393205" y="3978087"/>
          <a:ext cx="1546412" cy="717177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r-FR" sz="1600" b="1"/>
            <a:t>PRICING</a:t>
          </a:r>
          <a:r>
            <a:rPr lang="fr-FR" sz="1600" b="1" baseline="0"/>
            <a:t> VBA BUTTON</a:t>
          </a:r>
          <a:endParaRPr lang="fr-FR" sz="1600" b="1"/>
        </a:p>
      </xdr:txBody>
    </xdr:sp>
    <xdr:clientData/>
  </xdr:twoCellAnchor>
  <xdr:twoCellAnchor>
    <xdr:from>
      <xdr:col>12</xdr:col>
      <xdr:colOff>313766</xdr:colOff>
      <xdr:row>13</xdr:row>
      <xdr:rowOff>112059</xdr:rowOff>
    </xdr:from>
    <xdr:to>
      <xdr:col>15</xdr:col>
      <xdr:colOff>44825</xdr:colOff>
      <xdr:row>17</xdr:row>
      <xdr:rowOff>22412</xdr:rowOff>
    </xdr:to>
    <xdr:sp macro="[0]!test_python" textlink="">
      <xdr:nvSpPr>
        <xdr:cNvPr id="5" name="Rectangle 4">
          <a:extLst>
            <a:ext uri="{FF2B5EF4-FFF2-40B4-BE49-F238E27FC236}">
              <a16:creationId xmlns:a16="http://schemas.microsoft.com/office/drawing/2014/main" id="{57BE2C77-A816-4804-B008-CB27C112DADC}"/>
            </a:ext>
          </a:extLst>
        </xdr:cNvPr>
        <xdr:cNvSpPr/>
      </xdr:nvSpPr>
      <xdr:spPr>
        <a:xfrm>
          <a:off x="8370795" y="2779059"/>
          <a:ext cx="1546412" cy="717177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r-FR" sz="1400" b="1"/>
            <a:t>PRICING</a:t>
          </a:r>
          <a:r>
            <a:rPr lang="fr-FR" sz="1400" b="1" baseline="0"/>
            <a:t> PYTHON BUTTON</a:t>
          </a:r>
          <a:endParaRPr lang="fr-FR" sz="1400" b="1"/>
        </a:p>
      </xdr:txBody>
    </xdr:sp>
    <xdr:clientData/>
  </xdr:twoCellAnchor>
  <xdr:twoCellAnchor>
    <xdr:from>
      <xdr:col>20</xdr:col>
      <xdr:colOff>56029</xdr:colOff>
      <xdr:row>8</xdr:row>
      <xdr:rowOff>168088</xdr:rowOff>
    </xdr:from>
    <xdr:to>
      <xdr:col>21</xdr:col>
      <xdr:colOff>728383</xdr:colOff>
      <xdr:row>11</xdr:row>
      <xdr:rowOff>168088</xdr:rowOff>
    </xdr:to>
    <xdr:sp macro="[0]!recalculate_greeks" textlink="">
      <xdr:nvSpPr>
        <xdr:cNvPr id="6" name="Rectangle 5">
          <a:extLst>
            <a:ext uri="{FF2B5EF4-FFF2-40B4-BE49-F238E27FC236}">
              <a16:creationId xmlns:a16="http://schemas.microsoft.com/office/drawing/2014/main" id="{95BB6F5E-F427-A155-A3F0-9007F8277082}"/>
            </a:ext>
          </a:extLst>
        </xdr:cNvPr>
        <xdr:cNvSpPr/>
      </xdr:nvSpPr>
      <xdr:spPr>
        <a:xfrm>
          <a:off x="14623676" y="1826559"/>
          <a:ext cx="1501589" cy="605117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r-FR" sz="1600" b="1"/>
            <a:t>RECALCULATE</a:t>
          </a:r>
          <a:r>
            <a:rPr lang="fr-FR" sz="1600" b="1" baseline="0"/>
            <a:t> GREEKS</a:t>
          </a:r>
          <a:endParaRPr lang="fr-FR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6</xdr:row>
      <xdr:rowOff>176211</xdr:rowOff>
    </xdr:from>
    <xdr:to>
      <xdr:col>10</xdr:col>
      <xdr:colOff>209550</xdr:colOff>
      <xdr:row>23</xdr:row>
      <xdr:rowOff>66675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A06345B-C0CE-1E0B-7675-D2FD9E7AC5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661987</xdr:colOff>
      <xdr:row>12</xdr:row>
      <xdr:rowOff>109537</xdr:rowOff>
    </xdr:from>
    <xdr:to>
      <xdr:col>11</xdr:col>
      <xdr:colOff>628650</xdr:colOff>
      <xdr:row>26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634F0FC-1300-4400-BFDA-4F36420B8B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514350</xdr:colOff>
      <xdr:row>12</xdr:row>
      <xdr:rowOff>95250</xdr:rowOff>
    </xdr:from>
    <xdr:to>
      <xdr:col>4</xdr:col>
      <xdr:colOff>809625</xdr:colOff>
      <xdr:row>26</xdr:row>
      <xdr:rowOff>38100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82E9CB2-54F3-4750-9CCB-0C2853EA1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76200</xdr:colOff>
      <xdr:row>0</xdr:row>
      <xdr:rowOff>0</xdr:rowOff>
    </xdr:from>
    <xdr:to>
      <xdr:col>18</xdr:col>
      <xdr:colOff>95250</xdr:colOff>
      <xdr:row>12</xdr:row>
      <xdr:rowOff>57150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4D20C358-8065-415F-A2F5-FF3597A53C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142875</xdr:colOff>
      <xdr:row>12</xdr:row>
      <xdr:rowOff>66675</xdr:rowOff>
    </xdr:from>
    <xdr:to>
      <xdr:col>18</xdr:col>
      <xdr:colOff>109538</xdr:colOff>
      <xdr:row>26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45B7E31-22FD-4F83-B263-217E09480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290512</xdr:colOff>
      <xdr:row>12</xdr:row>
      <xdr:rowOff>47625</xdr:rowOff>
    </xdr:from>
    <xdr:to>
      <xdr:col>9</xdr:col>
      <xdr:colOff>819150</xdr:colOff>
      <xdr:row>25</xdr:row>
      <xdr:rowOff>114300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49AC11-E8BA-423C-917E-1237EA39A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0</xdr:row>
      <xdr:rowOff>57150</xdr:rowOff>
    </xdr:from>
    <xdr:to>
      <xdr:col>15</xdr:col>
      <xdr:colOff>485775</xdr:colOff>
      <xdr:row>14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A87704E-5427-424E-B7AE-29CAA676D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138112</xdr:colOff>
      <xdr:row>14</xdr:row>
      <xdr:rowOff>100011</xdr:rowOff>
    </xdr:from>
    <xdr:to>
      <xdr:col>16</xdr:col>
      <xdr:colOff>342900</xdr:colOff>
      <xdr:row>27</xdr:row>
      <xdr:rowOff>190499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8132E08-FC5C-D234-9BDC-1894FECA12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16A3AD-D481-4679-92B9-40B8CFB4AD8B}" name="Tableau1" displayName="Tableau1" ref="C30:D49" totalsRowShown="0">
  <tableColumns count="2">
    <tableColumn id="1" xr3:uid="{09AA355E-FEE9-47D8-961C-5AE3C5F70EE9}" name="Nb steps"/>
    <tableColumn id="2" xr3:uid="{1AE8DD0F-EAA9-4F3A-A184-DB0D2DC8B148}" name="Time (in s)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1044F1-980B-484D-A130-561E800B1CAD}" name="Tableau2" displayName="Tableau2" ref="C54:D73" totalsRowShown="0">
  <tableColumns count="2">
    <tableColumn id="1" xr3:uid="{AC9845A7-192A-4012-A5FF-2BEA7B947A7E}" name="Error"/>
    <tableColumn id="2" xr3:uid="{6FDC8888-F4B8-44C0-91B0-8196D3CDE35A}" name="Time (in s)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73"/>
  <sheetViews>
    <sheetView showGridLines="0" tabSelected="1" topLeftCell="C1" zoomScale="85" zoomScaleNormal="85" workbookViewId="0">
      <selection activeCell="L11" sqref="L11"/>
    </sheetView>
  </sheetViews>
  <sheetFormatPr baseColWidth="10" defaultColWidth="8" defaultRowHeight="15.75" x14ac:dyDescent="0.25"/>
  <cols>
    <col min="3" max="3" width="9.625" customWidth="1"/>
    <col min="4" max="4" width="10.875" customWidth="1"/>
    <col min="9" max="9" width="2.75" customWidth="1"/>
    <col min="11" max="11" width="16.625" bestFit="1" customWidth="1"/>
    <col min="12" max="12" width="12.375" bestFit="1" customWidth="1"/>
    <col min="17" max="17" width="16.75" bestFit="1" customWidth="1"/>
    <col min="18" max="18" width="12.375" bestFit="1" customWidth="1"/>
    <col min="20" max="20" width="16.625" bestFit="1" customWidth="1"/>
    <col min="21" max="21" width="10.875" bestFit="1" customWidth="1"/>
    <col min="22" max="22" width="10.75" bestFit="1" customWidth="1"/>
    <col min="23" max="23" width="8.625" bestFit="1" customWidth="1"/>
    <col min="24" max="24" width="12.875" bestFit="1" customWidth="1"/>
  </cols>
  <sheetData>
    <row r="1" spans="1:24" ht="19.5" x14ac:dyDescent="0.3">
      <c r="A1" t="s">
        <v>43</v>
      </c>
      <c r="K1" s="3" t="s">
        <v>15</v>
      </c>
      <c r="L1" s="3"/>
    </row>
    <row r="2" spans="1:24" x14ac:dyDescent="0.25">
      <c r="K2" s="4"/>
      <c r="L2" s="4"/>
    </row>
    <row r="3" spans="1:24" x14ac:dyDescent="0.25">
      <c r="I3" s="25"/>
      <c r="J3" s="5"/>
      <c r="K3" s="6" t="s">
        <v>16</v>
      </c>
      <c r="L3" s="77">
        <v>44910</v>
      </c>
      <c r="U3" s="38" t="s">
        <v>69</v>
      </c>
      <c r="V3" s="39">
        <f>(LN(St/Strike)+(IntRate+(Vol^2)/2)*(Mat-Pr_date)/365)/(Vol*SQRT((Mat-Pr_date)/365))</f>
        <v>4.9839343322271773E-2</v>
      </c>
    </row>
    <row r="4" spans="1:24" x14ac:dyDescent="0.25">
      <c r="I4" s="25"/>
      <c r="J4" s="8"/>
      <c r="K4" s="9" t="s">
        <v>17</v>
      </c>
      <c r="L4" s="7">
        <v>100</v>
      </c>
      <c r="U4" s="38" t="s">
        <v>70</v>
      </c>
      <c r="V4" s="39">
        <f>(LN(St/Strike)+(IntRate-(Vol^2)/2)*(Mat-Pr_date)/365)/(Vol*SQRT((Mat-Pr_date)/365))</f>
        <v>-0.20016065667772823</v>
      </c>
    </row>
    <row r="5" spans="1:24" x14ac:dyDescent="0.25">
      <c r="I5" s="25"/>
      <c r="J5" s="10" t="s">
        <v>18</v>
      </c>
      <c r="K5" s="9" t="s">
        <v>19</v>
      </c>
      <c r="L5" s="69">
        <v>0.03</v>
      </c>
      <c r="T5" s="40" t="s">
        <v>71</v>
      </c>
      <c r="U5" s="38" t="s">
        <v>72</v>
      </c>
      <c r="V5" s="39">
        <f>IF(OptType="Call",_xlfn.NORM.S.DIST(V3,TRUE),_xlfn.NORM.S.DIST(-V3,TRUE))</f>
        <v>0.5198747929060461</v>
      </c>
    </row>
    <row r="6" spans="1:24" x14ac:dyDescent="0.25">
      <c r="I6" s="25"/>
      <c r="J6" s="8"/>
      <c r="K6" s="9" t="s">
        <v>20</v>
      </c>
      <c r="L6" s="69">
        <v>0.25</v>
      </c>
      <c r="U6" s="38" t="s">
        <v>73</v>
      </c>
      <c r="V6" s="39">
        <f>IF(OptType="Call",_xlfn.NORM.S.DIST(V4,TRUE),_xlfn.NORM.S.DIST(-V4,TRUE))</f>
        <v>0.42067746795039584</v>
      </c>
    </row>
    <row r="7" spans="1:24" x14ac:dyDescent="0.25">
      <c r="I7" s="26" t="s">
        <v>21</v>
      </c>
      <c r="J7" s="8"/>
      <c r="K7" s="9" t="s">
        <v>22</v>
      </c>
      <c r="L7" s="7">
        <v>0</v>
      </c>
      <c r="U7" s="38" t="s">
        <v>38</v>
      </c>
      <c r="V7" s="41">
        <f>IF(OptType="Call",St*V5-Strike*EXP(-IntRate*(Mat-Pr_date)/365)*V6,Strike*EXP(-IntRate*(Mat-Pr_date)/365)*V6-St*V5)</f>
        <v>9.1217994577240873</v>
      </c>
    </row>
    <row r="8" spans="1:24" x14ac:dyDescent="0.25">
      <c r="I8" s="27" t="s">
        <v>23</v>
      </c>
      <c r="J8" s="11"/>
      <c r="K8" s="12" t="s">
        <v>24</v>
      </c>
      <c r="L8" s="77">
        <v>44914</v>
      </c>
    </row>
    <row r="9" spans="1:24" x14ac:dyDescent="0.25">
      <c r="I9" s="27" t="s">
        <v>25</v>
      </c>
      <c r="J9" s="5"/>
      <c r="K9" s="13" t="s">
        <v>26</v>
      </c>
      <c r="L9" s="77">
        <v>45275</v>
      </c>
    </row>
    <row r="10" spans="1:24" x14ac:dyDescent="0.25">
      <c r="I10" s="27" t="s">
        <v>27</v>
      </c>
      <c r="J10" s="8"/>
      <c r="K10" s="14" t="s">
        <v>28</v>
      </c>
      <c r="L10" s="7" t="s">
        <v>44</v>
      </c>
    </row>
    <row r="11" spans="1:24" x14ac:dyDescent="0.25">
      <c r="I11" s="27" t="s">
        <v>29</v>
      </c>
      <c r="J11" s="15" t="s">
        <v>30</v>
      </c>
      <c r="K11" s="14" t="s">
        <v>31</v>
      </c>
      <c r="L11" s="7" t="s">
        <v>51</v>
      </c>
    </row>
    <row r="12" spans="1:24" x14ac:dyDescent="0.25">
      <c r="I12" s="25"/>
      <c r="J12" s="8"/>
      <c r="K12" s="14" t="s">
        <v>32</v>
      </c>
      <c r="L12" s="7">
        <v>105</v>
      </c>
    </row>
    <row r="13" spans="1:24" x14ac:dyDescent="0.25">
      <c r="I13" s="25"/>
      <c r="J13" s="16" t="s">
        <v>33</v>
      </c>
      <c r="K13" s="17" t="s">
        <v>34</v>
      </c>
      <c r="L13" s="18">
        <v>200</v>
      </c>
    </row>
    <row r="14" spans="1:24" x14ac:dyDescent="0.25">
      <c r="I14" s="25"/>
      <c r="J14" s="19"/>
      <c r="K14" s="20" t="s">
        <v>62</v>
      </c>
      <c r="L14" s="7" t="s">
        <v>65</v>
      </c>
      <c r="T14" s="49" t="s">
        <v>79</v>
      </c>
      <c r="U14" s="50" t="s">
        <v>80</v>
      </c>
      <c r="V14" s="50" t="s">
        <v>81</v>
      </c>
      <c r="W14" s="50" t="s">
        <v>82</v>
      </c>
      <c r="X14" s="50" t="s">
        <v>83</v>
      </c>
    </row>
    <row r="15" spans="1:24" x14ac:dyDescent="0.25">
      <c r="I15" s="21" t="s">
        <v>35</v>
      </c>
      <c r="J15" s="5"/>
      <c r="K15" s="22" t="s">
        <v>36</v>
      </c>
      <c r="L15" s="7">
        <v>9.1217994577240873</v>
      </c>
      <c r="T15" s="51" t="s">
        <v>84</v>
      </c>
      <c r="U15" s="7" cm="1">
        <f t="array" ref="U15">Price_For_Greeks(St+0.01,Vol)</f>
        <v>9.1323582747705121</v>
      </c>
      <c r="V15" s="7" cm="1">
        <f t="array" ref="V15">Price_For_Greeks(St-0.01,Vol)</f>
        <v>9.1218519542147405</v>
      </c>
      <c r="W15" s="52"/>
      <c r="X15" s="53">
        <f>(U15-V15)/(2*0.01)</f>
        <v>0.52531602778858044</v>
      </c>
    </row>
    <row r="16" spans="1:24" x14ac:dyDescent="0.25">
      <c r="I16" s="21" t="s">
        <v>27</v>
      </c>
      <c r="J16" s="8"/>
      <c r="K16" s="33" t="s">
        <v>37</v>
      </c>
      <c r="L16" s="7">
        <v>9.127105114493018</v>
      </c>
      <c r="T16" s="51" t="s">
        <v>85</v>
      </c>
      <c r="U16" s="7" cm="1">
        <f t="array" ref="U16">Price_For_Greeks(St+0.5,Vol)</f>
        <v>9.3897631283881111</v>
      </c>
      <c r="V16" s="7" cm="1">
        <f t="array" ref="V16">Price_For_Greeks(St-0.5,Vol)</f>
        <v>8.8644471005970988</v>
      </c>
      <c r="W16" s="7" cm="1">
        <f t="array" ref="W16">Price_For_Greeks(St,Vol)</f>
        <v>9.1271051144926432</v>
      </c>
      <c r="X16" s="80">
        <f>(U16+V16-2*W16)/(0.5)^2</f>
        <v>-3.1263880373444408E-13</v>
      </c>
    </row>
    <row r="17" spans="3:24" ht="16.5" thickBot="1" x14ac:dyDescent="0.3">
      <c r="I17" s="21" t="s">
        <v>29</v>
      </c>
      <c r="J17" s="24" t="s">
        <v>38</v>
      </c>
      <c r="K17" s="35" t="s">
        <v>68</v>
      </c>
      <c r="L17" s="7">
        <f>ABS(L15-L16)</f>
        <v>5.3056567689306888E-3</v>
      </c>
      <c r="T17" s="51" t="s">
        <v>97</v>
      </c>
      <c r="U17" cm="1">
        <f t="array" ref="U17">Price_For_Greeks(St,Vol+0.01%)</f>
        <v>9.1310957122028018</v>
      </c>
      <c r="V17" s="7" cm="1">
        <f t="array" ref="V17">Price_For_Greeks(St,Vol-0.01%)</f>
        <v>9.1231144918614184</v>
      </c>
      <c r="W17" s="7"/>
      <c r="X17" s="76">
        <f>(U17-V17)/(2*0.01%)</f>
        <v>39.906101706916886</v>
      </c>
    </row>
    <row r="18" spans="3:24" x14ac:dyDescent="0.25">
      <c r="I18" s="21" t="s">
        <v>25</v>
      </c>
      <c r="J18" s="8"/>
      <c r="K18" s="34" t="s">
        <v>40</v>
      </c>
      <c r="L18" s="7">
        <v>0.32356667518615723</v>
      </c>
      <c r="Q18" s="42" t="s">
        <v>74</v>
      </c>
      <c r="R18" s="11"/>
      <c r="T18" s="51" t="s">
        <v>86</v>
      </c>
      <c r="U18" s="54"/>
      <c r="V18" s="55"/>
      <c r="W18" s="55"/>
      <c r="X18" s="56">
        <f>IF(OptType="Call",_xlfn.NORM.S.DIST(V3,TRUE),-_xlfn.NORM.S.DIST(-V3,TRUE))</f>
        <v>0.5198747929060461</v>
      </c>
    </row>
    <row r="19" spans="3:24" x14ac:dyDescent="0.25">
      <c r="I19" s="21" t="s">
        <v>27</v>
      </c>
      <c r="J19" s="8"/>
      <c r="K19" s="34" t="s">
        <v>41</v>
      </c>
      <c r="L19" s="7">
        <v>2.9398679733276367E-2</v>
      </c>
      <c r="Q19" s="43" t="s">
        <v>75</v>
      </c>
      <c r="R19" s="44">
        <f>3*OptPrice*Vol^2*((Mat-Pr_date)/365)/(8*SQRT(2*PI())*SQRT(EXP(Vol^2*Mat/365-1)))</f>
        <v>2.9164382498316306E-3</v>
      </c>
      <c r="T19" s="51" t="s">
        <v>87</v>
      </c>
      <c r="U19" s="55"/>
      <c r="V19" s="55"/>
      <c r="W19" s="55"/>
      <c r="X19" s="80">
        <f>1/SQRT(2*PI())*EXP(-1/2*((LN(St/Strike)+(IntRate+(Vol^2)/2)*(Mat-Pr_date)/365)/(Vol*SQRT((Mat-Pr_date)/365)))^2)/(Vol*SQRT((Mat-Pr_date)/365)*St)</f>
        <v>1.5937884383972839E-2</v>
      </c>
    </row>
    <row r="20" spans="3:24" x14ac:dyDescent="0.25">
      <c r="I20" s="30" t="s">
        <v>29</v>
      </c>
      <c r="J20" s="8"/>
      <c r="K20" s="35" t="s">
        <v>42</v>
      </c>
      <c r="L20" s="29">
        <f>L19+L18</f>
        <v>0.35296535491943359</v>
      </c>
      <c r="Q20" s="43" t="s">
        <v>76</v>
      </c>
      <c r="R20" s="45">
        <f>ABS(BS_price-OptPrice)</f>
        <v>5.3056567685558775E-3</v>
      </c>
      <c r="T20" s="51" t="s">
        <v>96</v>
      </c>
      <c r="U20" s="55"/>
      <c r="V20" s="55"/>
      <c r="W20" s="55"/>
      <c r="X20" s="75">
        <f>1/SQRT(2*PI())*St*SQRT((Mat-Pr_date)/365)*EXP(-1/2*V3^2)</f>
        <v>39.844710959932094</v>
      </c>
    </row>
    <row r="21" spans="3:24" x14ac:dyDescent="0.25">
      <c r="I21" s="21"/>
      <c r="J21" s="8"/>
      <c r="K21" s="23" t="s">
        <v>56</v>
      </c>
      <c r="L21" s="18" t="s">
        <v>99</v>
      </c>
      <c r="Q21" s="43" t="s">
        <v>77</v>
      </c>
      <c r="R21" s="46">
        <f>(BS_price-OptPrice)/(100*OptPrice)</f>
        <v>-5.8130773142200278E-6</v>
      </c>
      <c r="T21" s="51" t="s">
        <v>88</v>
      </c>
      <c r="U21" s="55"/>
      <c r="V21" s="55"/>
      <c r="W21" s="55"/>
      <c r="X21" s="57">
        <f>X15-X18</f>
        <v>5.4412348825343404E-3</v>
      </c>
    </row>
    <row r="22" spans="3:24" ht="16.5" thickBot="1" x14ac:dyDescent="0.3">
      <c r="I22" s="21"/>
      <c r="J22" s="8"/>
      <c r="K22" s="32" t="s">
        <v>66</v>
      </c>
      <c r="L22" s="37">
        <v>9.1271051144926432</v>
      </c>
      <c r="Q22" s="47" t="s">
        <v>78</v>
      </c>
      <c r="R22" s="48">
        <f>3*St*Vol^2*((Mat-Pr_date)/365)/(8*SQRT(2*PI())*R20*SQRT(EXP(Vol^2*Mat/365)-1))</f>
        <v>3.6536475913963185</v>
      </c>
      <c r="T22" s="51" t="s">
        <v>89</v>
      </c>
      <c r="U22" s="55"/>
      <c r="V22" s="55"/>
      <c r="W22" s="55"/>
      <c r="X22" s="79">
        <f>X19-X16</f>
        <v>1.5937884384285478E-2</v>
      </c>
    </row>
    <row r="23" spans="3:24" x14ac:dyDescent="0.25">
      <c r="I23" s="21"/>
      <c r="J23" s="11"/>
      <c r="K23" s="36" t="s">
        <v>67</v>
      </c>
      <c r="L23" s="31">
        <v>1.0546875</v>
      </c>
      <c r="T23" s="51" t="s">
        <v>98</v>
      </c>
      <c r="U23" s="55"/>
      <c r="V23" s="55"/>
      <c r="W23" s="55"/>
      <c r="X23" s="75">
        <f>X20-X17</f>
        <v>-6.1390746984791633E-2</v>
      </c>
    </row>
    <row r="27" spans="3:24" ht="19.5" x14ac:dyDescent="0.3">
      <c r="K27" s="3"/>
    </row>
    <row r="28" spans="3:24" ht="19.5" x14ac:dyDescent="0.3">
      <c r="C28" s="3" t="s">
        <v>53</v>
      </c>
    </row>
    <row r="30" spans="3:24" x14ac:dyDescent="0.25">
      <c r="C30" t="s">
        <v>34</v>
      </c>
      <c r="D30" t="s">
        <v>54</v>
      </c>
    </row>
    <row r="31" spans="3:24" x14ac:dyDescent="0.25">
      <c r="C31">
        <v>10</v>
      </c>
      <c r="D31">
        <v>2.0008087158203125E-3</v>
      </c>
    </row>
    <row r="32" spans="3:24" x14ac:dyDescent="0.25">
      <c r="C32">
        <v>20</v>
      </c>
      <c r="D32">
        <v>3.9992332458496094E-3</v>
      </c>
    </row>
    <row r="33" spans="3:4" x14ac:dyDescent="0.25">
      <c r="C33">
        <v>30</v>
      </c>
      <c r="D33">
        <v>9.0000629425048828E-3</v>
      </c>
    </row>
    <row r="34" spans="3:4" x14ac:dyDescent="0.25">
      <c r="C34">
        <v>40</v>
      </c>
      <c r="D34">
        <v>1.6002416610717773E-2</v>
      </c>
    </row>
    <row r="35" spans="3:4" x14ac:dyDescent="0.25">
      <c r="C35">
        <v>50</v>
      </c>
      <c r="D35">
        <v>2.0655199999999999E-2</v>
      </c>
    </row>
    <row r="36" spans="3:4" x14ac:dyDescent="0.25">
      <c r="C36">
        <v>60</v>
      </c>
      <c r="D36">
        <v>3.9998769760131836E-2</v>
      </c>
    </row>
    <row r="37" spans="3:4" x14ac:dyDescent="0.25">
      <c r="C37">
        <v>70</v>
      </c>
      <c r="D37">
        <v>5.4003000259399414E-2</v>
      </c>
    </row>
    <row r="38" spans="3:4" x14ac:dyDescent="0.25">
      <c r="C38">
        <v>80</v>
      </c>
      <c r="D38">
        <v>5.7003498077392578E-2</v>
      </c>
    </row>
    <row r="39" spans="3:4" x14ac:dyDescent="0.25">
      <c r="C39">
        <v>90</v>
      </c>
      <c r="D39">
        <v>7.6005697250366211E-2</v>
      </c>
    </row>
    <row r="40" spans="3:4" x14ac:dyDescent="0.25">
      <c r="C40">
        <v>100</v>
      </c>
      <c r="D40">
        <v>9.3007087707519531E-2</v>
      </c>
    </row>
    <row r="41" spans="3:4" x14ac:dyDescent="0.25">
      <c r="C41">
        <v>200</v>
      </c>
      <c r="D41">
        <v>0.43703269958496094</v>
      </c>
    </row>
    <row r="42" spans="3:4" x14ac:dyDescent="0.25">
      <c r="C42">
        <v>300</v>
      </c>
      <c r="D42">
        <v>0.94757580757141113</v>
      </c>
    </row>
    <row r="43" spans="3:4" x14ac:dyDescent="0.25">
      <c r="C43">
        <v>400</v>
      </c>
      <c r="D43">
        <v>1.7181289196014404</v>
      </c>
    </row>
    <row r="44" spans="3:4" x14ac:dyDescent="0.25">
      <c r="C44">
        <v>500</v>
      </c>
      <c r="D44">
        <v>2.6131434440612793</v>
      </c>
    </row>
    <row r="45" spans="3:4" x14ac:dyDescent="0.25">
      <c r="C45">
        <v>600</v>
      </c>
      <c r="D45">
        <v>3.5347025394439697</v>
      </c>
    </row>
    <row r="46" spans="3:4" x14ac:dyDescent="0.25">
      <c r="C46">
        <v>700</v>
      </c>
      <c r="D46">
        <v>5.0550589561462402</v>
      </c>
    </row>
    <row r="47" spans="3:4" x14ac:dyDescent="0.25">
      <c r="C47">
        <v>800</v>
      </c>
      <c r="D47">
        <v>6.6834731101989746</v>
      </c>
    </row>
    <row r="48" spans="3:4" x14ac:dyDescent="0.25">
      <c r="C48">
        <v>900</v>
      </c>
      <c r="D48">
        <v>8.1483912467956543</v>
      </c>
    </row>
    <row r="49" spans="3:4" x14ac:dyDescent="0.25">
      <c r="C49">
        <v>1000</v>
      </c>
      <c r="D49">
        <v>10.372714996337891</v>
      </c>
    </row>
    <row r="52" spans="3:4" ht="19.5" x14ac:dyDescent="0.3">
      <c r="C52" s="3" t="s">
        <v>55</v>
      </c>
    </row>
    <row r="54" spans="3:4" x14ac:dyDescent="0.25">
      <c r="C54" t="s">
        <v>39</v>
      </c>
      <c r="D54" t="s">
        <v>54</v>
      </c>
    </row>
    <row r="55" spans="3:4" x14ac:dyDescent="0.25">
      <c r="C55">
        <v>2.29664838008109E-2</v>
      </c>
      <c r="D55">
        <v>2.0017623901367188E-3</v>
      </c>
    </row>
    <row r="56" spans="3:4" x14ac:dyDescent="0.25">
      <c r="C56">
        <v>3.0337391939904146E-3</v>
      </c>
      <c r="D56">
        <v>4.9993991851806641E-3</v>
      </c>
    </row>
    <row r="57" spans="3:4" x14ac:dyDescent="0.25">
      <c r="C57">
        <v>6.9635713559031975E-3</v>
      </c>
      <c r="D57">
        <v>9.0014934539794922E-3</v>
      </c>
    </row>
    <row r="58" spans="3:4" x14ac:dyDescent="0.25">
      <c r="C58">
        <v>4.3853545293615626E-3</v>
      </c>
      <c r="D58">
        <v>1.7999649047851563E-2</v>
      </c>
    </row>
    <row r="59" spans="3:4" x14ac:dyDescent="0.25">
      <c r="C59">
        <v>8.5624718271536948E-3</v>
      </c>
      <c r="D59">
        <v>2.7000904083251953E-2</v>
      </c>
    </row>
    <row r="60" spans="3:4" x14ac:dyDescent="0.25">
      <c r="C60">
        <v>3.8215282992792865E-3</v>
      </c>
      <c r="D60">
        <v>3.7003517150878906E-2</v>
      </c>
    </row>
    <row r="61" spans="3:4" x14ac:dyDescent="0.25">
      <c r="C61">
        <v>2.609588779695915E-3</v>
      </c>
      <c r="D61">
        <v>4.4003963470458984E-2</v>
      </c>
    </row>
    <row r="62" spans="3:4" x14ac:dyDescent="0.25">
      <c r="C62">
        <v>2.6778014999885857E-3</v>
      </c>
      <c r="D62">
        <v>5.6004047393798828E-2</v>
      </c>
    </row>
    <row r="63" spans="3:4" x14ac:dyDescent="0.25">
      <c r="C63">
        <v>2.9747495624679043E-3</v>
      </c>
      <c r="D63">
        <v>7.1004152297973633E-2</v>
      </c>
    </row>
    <row r="64" spans="3:4" x14ac:dyDescent="0.25">
      <c r="C64">
        <v>2.3943462242752012E-3</v>
      </c>
      <c r="D64">
        <v>9.1006755828857422E-2</v>
      </c>
    </row>
    <row r="65" spans="3:4" x14ac:dyDescent="0.25">
      <c r="C65">
        <v>1.4902031740163801E-3</v>
      </c>
      <c r="D65">
        <v>0.35602664947509766</v>
      </c>
    </row>
    <row r="66" spans="3:4" x14ac:dyDescent="0.25">
      <c r="C66">
        <v>5.0000436892072564E-5</v>
      </c>
      <c r="D66">
        <v>1.7331299781799316</v>
      </c>
    </row>
    <row r="67" spans="3:4" x14ac:dyDescent="0.25">
      <c r="C67">
        <v>6.5626282124581214E-4</v>
      </c>
      <c r="D67">
        <v>1.7691326141357422</v>
      </c>
    </row>
    <row r="68" spans="3:4" x14ac:dyDescent="0.25">
      <c r="C68">
        <v>4.307864138388684E-4</v>
      </c>
      <c r="D68">
        <v>2.50360107421875</v>
      </c>
    </row>
    <row r="69" spans="3:4" x14ac:dyDescent="0.25">
      <c r="C69">
        <v>4.6492370947687212E-4</v>
      </c>
      <c r="D69">
        <v>3.7582030296325684</v>
      </c>
    </row>
    <row r="70" spans="3:4" x14ac:dyDescent="0.25">
      <c r="C70">
        <v>2.9438795705205578E-4</v>
      </c>
      <c r="D70">
        <v>5.0298202037811279</v>
      </c>
    </row>
    <row r="71" spans="3:4" x14ac:dyDescent="0.25">
      <c r="C71">
        <v>9.0188119591050331E-5</v>
      </c>
      <c r="D71">
        <v>6.7615077495574951</v>
      </c>
    </row>
    <row r="72" spans="3:4" x14ac:dyDescent="0.25">
      <c r="C72">
        <v>2.0381136263825095E-4</v>
      </c>
      <c r="D72">
        <v>8.589838981628418</v>
      </c>
    </row>
    <row r="73" spans="3:4" x14ac:dyDescent="0.25">
      <c r="C73">
        <v>3.8428548522162487E-4</v>
      </c>
      <c r="D73">
        <v>10.011206865310669</v>
      </c>
    </row>
  </sheetData>
  <conditionalFormatting sqref="X21:X23">
    <cfRule type="colorScale" priority="1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3" verticalDpi="0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C2EEFD6-3E35-4DEB-8122-E59F9E711A0B}">
          <x14:formula1>
            <xm:f>Data!$A$1:$B$1</xm:f>
          </x14:formula1>
          <xm:sqref>L10</xm:sqref>
        </x14:dataValidation>
        <x14:dataValidation type="list" allowBlank="1" showInputMessage="1" showErrorMessage="1" xr:uid="{8FB7EB46-96A2-4C62-92A7-CCDC7E7ED27F}">
          <x14:formula1>
            <xm:f>Data!$A$2:$B$2</xm:f>
          </x14:formula1>
          <xm:sqref>L11</xm:sqref>
        </x14:dataValidation>
        <x14:dataValidation type="list" allowBlank="1" showInputMessage="1" showErrorMessage="1" xr:uid="{2A8424A2-1111-418E-8E46-41BFEACBF73A}">
          <x14:formula1>
            <xm:f>Data!$A$3:$G$3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06A96-331F-4DEC-A667-F6DBC6201B19}">
  <sheetPr codeName="Feuil9"/>
  <dimension ref="A1:D17"/>
  <sheetViews>
    <sheetView workbookViewId="0">
      <selection activeCell="C23" sqref="C23"/>
    </sheetView>
  </sheetViews>
  <sheetFormatPr baseColWidth="10" defaultRowHeight="15.75" x14ac:dyDescent="0.25"/>
  <sheetData>
    <row r="1" spans="1:4" x14ac:dyDescent="0.25">
      <c r="A1" s="86" t="s">
        <v>32</v>
      </c>
      <c r="B1" s="86" t="s">
        <v>100</v>
      </c>
      <c r="C1" s="86" t="s">
        <v>101</v>
      </c>
      <c r="D1" s="84" t="s">
        <v>102</v>
      </c>
    </row>
    <row r="2" spans="1:4" x14ac:dyDescent="0.25">
      <c r="A2" s="85">
        <v>90</v>
      </c>
      <c r="B2" s="84">
        <v>16.962570991292779</v>
      </c>
      <c r="C2" s="84">
        <v>16.971875781203494</v>
      </c>
      <c r="D2" s="84">
        <f>B2-C2</f>
        <v>-9.3047899107148169E-3</v>
      </c>
    </row>
    <row r="3" spans="1:4" x14ac:dyDescent="0.25">
      <c r="A3" s="85">
        <v>91</v>
      </c>
      <c r="B3" s="37">
        <v>16.333056528378982</v>
      </c>
      <c r="C3" s="37">
        <v>16.337874983850554</v>
      </c>
      <c r="D3" s="84">
        <f t="shared" ref="D3:D17" si="0">B3-C3</f>
        <v>-4.8184554715717809E-3</v>
      </c>
    </row>
    <row r="4" spans="1:4" x14ac:dyDescent="0.25">
      <c r="A4" s="85">
        <v>92</v>
      </c>
      <c r="B4" s="37">
        <v>15.729181154075562</v>
      </c>
      <c r="C4" s="37">
        <v>15.719750142593753</v>
      </c>
      <c r="D4" s="84">
        <f t="shared" si="0"/>
        <v>9.4310114818085822E-3</v>
      </c>
    </row>
    <row r="5" spans="1:4" x14ac:dyDescent="0.25">
      <c r="A5" s="85">
        <v>93</v>
      </c>
      <c r="B5" s="37">
        <v>15.125305779772143</v>
      </c>
      <c r="C5" s="37">
        <v>15.117571142969759</v>
      </c>
      <c r="D5" s="84">
        <f t="shared" si="0"/>
        <v>7.7346368023842871E-3</v>
      </c>
    </row>
    <row r="6" spans="1:4" x14ac:dyDescent="0.25">
      <c r="A6" s="85">
        <v>94</v>
      </c>
      <c r="B6" s="37">
        <v>14.521430405468724</v>
      </c>
      <c r="C6" s="37">
        <v>14.531377341312606</v>
      </c>
      <c r="D6" s="84">
        <f t="shared" si="0"/>
        <v>-9.9469358438817324E-3</v>
      </c>
    </row>
    <row r="7" spans="1:4" x14ac:dyDescent="0.25">
      <c r="A7" s="85">
        <v>95</v>
      </c>
      <c r="B7" s="37">
        <v>13.954415298698633</v>
      </c>
      <c r="C7" s="37">
        <v>13.96117831632769</v>
      </c>
      <c r="D7" s="84">
        <f t="shared" si="0"/>
        <v>-6.7630176290567334E-3</v>
      </c>
    </row>
    <row r="8" spans="1:4" x14ac:dyDescent="0.25">
      <c r="A8" s="85">
        <v>96</v>
      </c>
      <c r="B8" s="37">
        <v>13.416394408680363</v>
      </c>
      <c r="C8" s="37">
        <v>13.406954755286655</v>
      </c>
      <c r="D8" s="84">
        <f t="shared" si="0"/>
        <v>9.4396533937075588E-3</v>
      </c>
    </row>
    <row r="9" spans="1:4" x14ac:dyDescent="0.25">
      <c r="A9" s="85">
        <v>97</v>
      </c>
      <c r="B9" s="37">
        <v>12.878373518662087</v>
      </c>
      <c r="C9" s="37">
        <v>12.868659459776339</v>
      </c>
      <c r="D9" s="84">
        <f t="shared" si="0"/>
        <v>9.7140588857485E-3</v>
      </c>
    </row>
    <row r="10" spans="1:4" x14ac:dyDescent="0.25">
      <c r="A10" s="85">
        <v>98</v>
      </c>
      <c r="B10" s="37">
        <v>12.340352628643812</v>
      </c>
      <c r="C10" s="37">
        <v>12.346218455947152</v>
      </c>
      <c r="D10" s="84">
        <f t="shared" si="0"/>
        <v>-5.8658273033405095E-3</v>
      </c>
    </row>
    <row r="11" spans="1:4" x14ac:dyDescent="0.25">
      <c r="A11" s="85">
        <v>99</v>
      </c>
      <c r="B11" s="37">
        <v>11.825998842261525</v>
      </c>
      <c r="C11" s="37">
        <v>11.839532194394089</v>
      </c>
      <c r="D11" s="84">
        <f t="shared" si="0"/>
        <v>-1.3533352132563792E-2</v>
      </c>
    </row>
    <row r="12" spans="1:4" x14ac:dyDescent="0.25">
      <c r="A12" s="85">
        <v>100</v>
      </c>
      <c r="B12" s="37">
        <v>11.355421145374702</v>
      </c>
      <c r="C12" s="37">
        <v>11.348476825143521</v>
      </c>
      <c r="D12" s="84">
        <f t="shared" si="0"/>
        <v>6.9443202311809671E-3</v>
      </c>
    </row>
    <row r="13" spans="1:4" x14ac:dyDescent="0.25">
      <c r="A13" s="85">
        <v>101</v>
      </c>
      <c r="B13" s="37">
        <v>10.884843448487874</v>
      </c>
      <c r="C13" s="37">
        <v>10.872905533689746</v>
      </c>
      <c r="D13" s="84">
        <f t="shared" si="0"/>
        <v>1.1937914798128446E-2</v>
      </c>
    </row>
    <row r="14" spans="1:4" x14ac:dyDescent="0.25">
      <c r="A14" s="85">
        <v>102</v>
      </c>
      <c r="B14" s="37">
        <v>10.414265751601047</v>
      </c>
      <c r="C14" s="37">
        <v>10.412649924609177</v>
      </c>
      <c r="D14" s="84">
        <f t="shared" si="0"/>
        <v>1.6158269918697954E-3</v>
      </c>
    </row>
    <row r="15" spans="1:4" x14ac:dyDescent="0.25">
      <c r="A15" s="85">
        <v>103</v>
      </c>
      <c r="B15" s="37">
        <v>9.9436880547142206</v>
      </c>
      <c r="C15" s="37">
        <v>9.9675214399541119</v>
      </c>
      <c r="D15" s="84">
        <f t="shared" si="0"/>
        <v>-2.3833385239891314E-2</v>
      </c>
    </row>
    <row r="16" spans="1:4" x14ac:dyDescent="0.25">
      <c r="A16" s="85">
        <v>104</v>
      </c>
      <c r="B16" s="37">
        <v>9.5370653285484721</v>
      </c>
      <c r="C16" s="37">
        <v>9.5373128003750622</v>
      </c>
      <c r="D16" s="84">
        <f t="shared" si="0"/>
        <v>-2.4747182659012879E-4</v>
      </c>
    </row>
    <row r="17" spans="1:4" x14ac:dyDescent="0.25">
      <c r="A17" s="85">
        <v>105</v>
      </c>
      <c r="B17" s="37">
        <v>9.1334879964522457</v>
      </c>
      <c r="C17" s="37">
        <v>9.1217994577240873</v>
      </c>
      <c r="D17" s="84">
        <f t="shared" si="0"/>
        <v>1.1688538728158449E-2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146B4-9A85-418A-82AF-B8245158A750}">
  <sheetPr codeName="Feuil7"/>
  <dimension ref="A1:J12"/>
  <sheetViews>
    <sheetView topLeftCell="B1" workbookViewId="0">
      <selection activeCell="K9" sqref="K9"/>
    </sheetView>
  </sheetViews>
  <sheetFormatPr baseColWidth="10" defaultRowHeight="15.75" x14ac:dyDescent="0.25"/>
  <cols>
    <col min="1" max="1" width="26.375" bestFit="1" customWidth="1"/>
  </cols>
  <sheetData>
    <row r="1" spans="1:10" x14ac:dyDescent="0.25">
      <c r="A1" s="58" t="s">
        <v>90</v>
      </c>
      <c r="B1" s="51" t="s">
        <v>84</v>
      </c>
      <c r="C1" s="51" t="s">
        <v>85</v>
      </c>
      <c r="D1" s="51" t="s">
        <v>97</v>
      </c>
      <c r="E1" s="51" t="s">
        <v>86</v>
      </c>
      <c r="F1" s="51" t="s">
        <v>87</v>
      </c>
      <c r="G1" s="51" t="s">
        <v>96</v>
      </c>
      <c r="H1" s="51" t="s">
        <v>88</v>
      </c>
      <c r="I1" s="51" t="s">
        <v>89</v>
      </c>
      <c r="J1" s="51" t="s">
        <v>98</v>
      </c>
    </row>
    <row r="2" spans="1:10" x14ac:dyDescent="0.25">
      <c r="A2" s="59">
        <v>50</v>
      </c>
      <c r="B2" s="53">
        <v>0.99873223096977881</v>
      </c>
      <c r="C2" s="81">
        <v>-1.1368683772161603E-13</v>
      </c>
      <c r="D2" s="82">
        <v>0.41892079917005276</v>
      </c>
      <c r="E2" s="53">
        <v>0.99872602778033648</v>
      </c>
      <c r="F2" s="81">
        <v>1.6813636584280114E-4</v>
      </c>
      <c r="G2" s="82">
        <v>0.42034091460700285</v>
      </c>
      <c r="H2" s="60">
        <f>(B2-E2)/E2</f>
        <v>6.2111022140072484E-6</v>
      </c>
      <c r="I2" s="83">
        <v>1.6813636595648798E-4</v>
      </c>
      <c r="J2" s="83">
        <f>(D2-G2)/G2</f>
        <v>-3.3784849097495584E-3</v>
      </c>
    </row>
    <row r="3" spans="1:10" x14ac:dyDescent="0.25">
      <c r="A3" s="59">
        <v>60</v>
      </c>
      <c r="B3" s="53">
        <v>0.98870270425024387</v>
      </c>
      <c r="C3" s="81">
        <v>0</v>
      </c>
      <c r="D3" s="82">
        <v>2.9631005540409205</v>
      </c>
      <c r="E3" s="53">
        <v>0.98894004434042515</v>
      </c>
      <c r="F3" s="81">
        <v>1.163900385816027E-3</v>
      </c>
      <c r="G3" s="82">
        <v>2.9097509645400672</v>
      </c>
      <c r="H3" s="60">
        <f t="shared" ref="H3:H12" si="0">(B3-E3)/E3</f>
        <v>-2.3999441780070291E-4</v>
      </c>
      <c r="I3" s="83">
        <v>1.163900385816027E-3</v>
      </c>
      <c r="J3" s="83">
        <v>-5.3349589500853334E-2</v>
      </c>
    </row>
    <row r="4" spans="1:10" x14ac:dyDescent="0.25">
      <c r="A4" s="59">
        <v>70</v>
      </c>
      <c r="B4" s="53">
        <v>0.95199265636658481</v>
      </c>
      <c r="C4" s="81">
        <v>0</v>
      </c>
      <c r="D4" s="82">
        <v>9.9817505906685255</v>
      </c>
      <c r="E4" s="53">
        <v>0.95270823079959233</v>
      </c>
      <c r="F4" s="81">
        <v>3.9457965620298676E-3</v>
      </c>
      <c r="G4" s="82">
        <v>9.8644914050746682</v>
      </c>
      <c r="H4" s="60">
        <f t="shared" si="0"/>
        <v>-7.51095046598837E-4</v>
      </c>
      <c r="I4" s="83">
        <v>3.9457965620298676E-3</v>
      </c>
      <c r="J4" s="83">
        <v>-0.1172591855938574</v>
      </c>
    </row>
    <row r="5" spans="1:10" x14ac:dyDescent="0.25">
      <c r="A5" s="59">
        <v>80</v>
      </c>
      <c r="B5" s="53">
        <v>0.87937889451623619</v>
      </c>
      <c r="C5" s="81">
        <v>5.6843418860808015E-14</v>
      </c>
      <c r="D5" s="82">
        <v>20.181081395431733</v>
      </c>
      <c r="E5" s="53">
        <v>0.87235083865091234</v>
      </c>
      <c r="F5" s="81">
        <v>8.3553611328701476E-3</v>
      </c>
      <c r="G5" s="82">
        <v>20.888402832175366</v>
      </c>
      <c r="H5" s="60">
        <f t="shared" si="0"/>
        <v>8.0564556757837368E-3</v>
      </c>
      <c r="I5" s="83">
        <v>8.3553611328133041E-3</v>
      </c>
      <c r="J5" s="83">
        <v>0.70732143674363357</v>
      </c>
    </row>
    <row r="6" spans="1:10" x14ac:dyDescent="0.25">
      <c r="A6" s="59">
        <v>90</v>
      </c>
      <c r="B6" s="53">
        <v>0.75151806565649792</v>
      </c>
      <c r="C6" s="81">
        <v>-1.1368683772161603E-13</v>
      </c>
      <c r="D6" s="82">
        <v>31.747778998436615</v>
      </c>
      <c r="E6" s="53">
        <v>0.74743570777055557</v>
      </c>
      <c r="F6" s="81">
        <v>1.2779833356758794E-2</v>
      </c>
      <c r="G6" s="82">
        <v>31.949583391896986</v>
      </c>
      <c r="H6" s="60">
        <f t="shared" si="0"/>
        <v>5.4618181115793571E-3</v>
      </c>
      <c r="I6" s="83">
        <v>1.277983335687248E-2</v>
      </c>
      <c r="J6" s="83">
        <v>0.20180439346037105</v>
      </c>
    </row>
    <row r="7" spans="1:10" x14ac:dyDescent="0.25">
      <c r="A7" s="59">
        <v>100</v>
      </c>
      <c r="B7" s="53">
        <v>0.57403465321090863</v>
      </c>
      <c r="C7" s="81">
        <v>8.0581565755423412E-2</v>
      </c>
      <c r="D7" s="82">
        <v>38.944822389375133</v>
      </c>
      <c r="E7" s="53">
        <v>0.59677178432052447</v>
      </c>
      <c r="F7" s="81">
        <v>1.5485876591701841E-2</v>
      </c>
      <c r="G7" s="82">
        <v>38.714691479254604</v>
      </c>
      <c r="H7" s="60">
        <f t="shared" si="0"/>
        <v>-3.8100211348805639E-2</v>
      </c>
      <c r="I7" s="83">
        <v>-6.5095689163721576E-2</v>
      </c>
      <c r="J7" s="83">
        <v>-0.23013091012052911</v>
      </c>
    </row>
    <row r="8" spans="1:10" x14ac:dyDescent="0.25">
      <c r="A8" s="59">
        <v>110</v>
      </c>
      <c r="B8" s="53">
        <v>0.42747384135983779</v>
      </c>
      <c r="C8" s="81">
        <v>2.3784669458599694E-2</v>
      </c>
      <c r="D8" s="82">
        <v>39.031861584342131</v>
      </c>
      <c r="E8" s="53">
        <v>0.44581549298709733</v>
      </c>
      <c r="F8" s="81">
        <v>1.5810276723293798E-2</v>
      </c>
      <c r="G8" s="82">
        <v>39.525691808234491</v>
      </c>
      <c r="H8" s="60">
        <f t="shared" si="0"/>
        <v>-4.114179950177365E-2</v>
      </c>
      <c r="I8" s="83">
        <v>-7.9743927353058963E-3</v>
      </c>
      <c r="J8" s="83">
        <v>0.49383022389235975</v>
      </c>
    </row>
    <row r="9" spans="1:10" x14ac:dyDescent="0.25">
      <c r="A9" s="59">
        <v>120</v>
      </c>
      <c r="B9" s="53">
        <v>0.33391867780476758</v>
      </c>
      <c r="C9" s="81">
        <v>6.0597438734610876E-2</v>
      </c>
      <c r="D9" s="82">
        <v>36.653241032245099</v>
      </c>
      <c r="E9" s="53">
        <v>0.31409137453559827</v>
      </c>
      <c r="F9" s="81">
        <v>1.4191942102803121E-2</v>
      </c>
      <c r="G9" s="82">
        <v>35.479855257007799</v>
      </c>
      <c r="H9" s="60">
        <f t="shared" si="0"/>
        <v>6.3125908180334769E-2</v>
      </c>
      <c r="I9" s="83">
        <v>-4.6405496631807756E-2</v>
      </c>
      <c r="J9" s="83">
        <v>-1.1733857752372998</v>
      </c>
    </row>
    <row r="10" spans="1:10" x14ac:dyDescent="0.25">
      <c r="A10" s="59">
        <v>130</v>
      </c>
      <c r="B10" s="53">
        <v>0.21226768949984542</v>
      </c>
      <c r="C10" s="81">
        <v>7.460698725481052E-14</v>
      </c>
      <c r="D10" s="82">
        <v>29.038468527198269</v>
      </c>
      <c r="E10" s="53">
        <v>0.21056653002964029</v>
      </c>
      <c r="F10" s="81">
        <v>1.1546303493971542E-2</v>
      </c>
      <c r="G10" s="82">
        <v>28.865758734928853</v>
      </c>
      <c r="H10" s="60">
        <f t="shared" si="0"/>
        <v>8.078964258781629E-3</v>
      </c>
      <c r="I10" s="83">
        <v>1.1546303493896935E-2</v>
      </c>
      <c r="J10" s="83">
        <v>-0.17270979226941563</v>
      </c>
    </row>
    <row r="11" spans="1:10" x14ac:dyDescent="0.25">
      <c r="A11" s="59">
        <v>140</v>
      </c>
      <c r="B11" s="53">
        <v>0.148039045027204</v>
      </c>
      <c r="C11" s="81">
        <v>4.0354605468570171E-2</v>
      </c>
      <c r="D11" s="82">
        <v>23.279533297962949</v>
      </c>
      <c r="E11" s="53">
        <v>0.13547249669785724</v>
      </c>
      <c r="F11" s="81">
        <v>8.7055668135628157E-3</v>
      </c>
      <c r="G11" s="82">
        <v>21.763917033907038</v>
      </c>
      <c r="H11" s="60">
        <f t="shared" si="0"/>
        <v>9.276088236104324E-2</v>
      </c>
      <c r="I11" s="83">
        <v>-3.1649038655007358E-2</v>
      </c>
      <c r="J11" s="83">
        <v>-1.515616264055911</v>
      </c>
    </row>
    <row r="12" spans="1:10" x14ac:dyDescent="0.25">
      <c r="A12" s="59">
        <v>150</v>
      </c>
      <c r="B12" s="53">
        <v>7.8632624560992515E-2</v>
      </c>
      <c r="C12" s="81">
        <v>5.1514348342607263E-14</v>
      </c>
      <c r="D12" s="82">
        <v>14.61687493567676</v>
      </c>
      <c r="E12" s="53">
        <v>8.4277701221185747E-2</v>
      </c>
      <c r="F12" s="81">
        <v>6.1846387438686656E-3</v>
      </c>
      <c r="G12" s="82">
        <v>15.461596859671664</v>
      </c>
      <c r="H12" s="60">
        <f t="shared" si="0"/>
        <v>-6.6981853780963968E-2</v>
      </c>
      <c r="I12" s="83">
        <v>6.1846387438171512E-3</v>
      </c>
      <c r="J12" s="83">
        <v>0.84472192399490353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BF5F5-17D0-43FD-A31D-496B716CEB57}">
  <sheetPr codeName="Feuil8"/>
  <dimension ref="A1:J22"/>
  <sheetViews>
    <sheetView topLeftCell="C1" workbookViewId="0">
      <selection activeCell="G9" sqref="G9"/>
    </sheetView>
  </sheetViews>
  <sheetFormatPr baseColWidth="10" defaultRowHeight="15.75" x14ac:dyDescent="0.25"/>
  <cols>
    <col min="3" max="3" width="18.625" bestFit="1" customWidth="1"/>
    <col min="4" max="4" width="14.25" bestFit="1" customWidth="1"/>
    <col min="5" max="5" width="11.875" customWidth="1"/>
    <col min="9" max="9" width="16.5" bestFit="1" customWidth="1"/>
  </cols>
  <sheetData>
    <row r="1" spans="1:10" x14ac:dyDescent="0.25">
      <c r="A1" s="61" t="s">
        <v>91</v>
      </c>
      <c r="B1" s="61" t="s">
        <v>92</v>
      </c>
      <c r="C1" s="62" t="s">
        <v>93</v>
      </c>
      <c r="D1" s="62" t="s">
        <v>94</v>
      </c>
      <c r="E1" s="62" t="s">
        <v>95</v>
      </c>
      <c r="H1" s="5"/>
      <c r="I1" s="63" t="s">
        <v>16</v>
      </c>
      <c r="J1" s="28">
        <v>44440</v>
      </c>
    </row>
    <row r="2" spans="1:10" x14ac:dyDescent="0.25">
      <c r="A2" s="64">
        <v>10</v>
      </c>
      <c r="B2" s="65">
        <v>6.0680606226116796</v>
      </c>
      <c r="C2" s="66">
        <v>1E-3</v>
      </c>
      <c r="D2" s="66">
        <v>0.66288184337556011</v>
      </c>
      <c r="E2" s="78">
        <v>6.0017724382741235</v>
      </c>
      <c r="H2" s="8"/>
      <c r="I2" s="67" t="s">
        <v>17</v>
      </c>
      <c r="J2" s="7">
        <v>100</v>
      </c>
    </row>
    <row r="3" spans="1:10" x14ac:dyDescent="0.25">
      <c r="A3" s="64">
        <v>50</v>
      </c>
      <c r="B3" s="65">
        <v>5.9988908418185867</v>
      </c>
      <c r="C3" s="68">
        <v>3.90625E-2</v>
      </c>
      <c r="D3" s="66">
        <v>-0.14407982277684361</v>
      </c>
      <c r="E3" s="78">
        <v>6.0017724382741235</v>
      </c>
      <c r="H3" s="10" t="s">
        <v>18</v>
      </c>
      <c r="I3" s="67" t="s">
        <v>19</v>
      </c>
      <c r="J3" s="69">
        <v>0.03</v>
      </c>
    </row>
    <row r="4" spans="1:10" x14ac:dyDescent="0.25">
      <c r="A4" s="64">
        <v>100</v>
      </c>
      <c r="B4" s="70">
        <v>5.9965752601863622</v>
      </c>
      <c r="C4" s="66">
        <v>0.1328125</v>
      </c>
      <c r="D4" s="66">
        <v>-0.51971780877613227</v>
      </c>
      <c r="E4" s="78">
        <v>6.0017724382741235</v>
      </c>
      <c r="H4" s="8"/>
      <c r="I4" s="67" t="s">
        <v>20</v>
      </c>
      <c r="J4" s="7">
        <v>0.2</v>
      </c>
    </row>
    <row r="5" spans="1:10" x14ac:dyDescent="0.25">
      <c r="A5" s="64">
        <v>150</v>
      </c>
      <c r="B5" s="65">
        <v>6.0074089445558814</v>
      </c>
      <c r="C5" s="68">
        <v>0.282989501953125</v>
      </c>
      <c r="D5" s="66">
        <v>0.84547594226367373</v>
      </c>
      <c r="E5" s="78">
        <v>6.0017724382741235</v>
      </c>
      <c r="H5" s="8"/>
      <c r="I5" s="67" t="s">
        <v>22</v>
      </c>
      <c r="J5" s="7">
        <v>0</v>
      </c>
    </row>
    <row r="6" spans="1:10" x14ac:dyDescent="0.25">
      <c r="A6" s="64">
        <v>200</v>
      </c>
      <c r="B6" s="65">
        <v>6.0056583249181923</v>
      </c>
      <c r="C6" s="68">
        <v>0.510009765625</v>
      </c>
      <c r="D6" s="66">
        <v>0.77717732881374957</v>
      </c>
      <c r="E6" s="78">
        <v>6.0017724382741235</v>
      </c>
      <c r="H6" s="11"/>
      <c r="I6" s="71" t="s">
        <v>24</v>
      </c>
      <c r="J6" s="28">
        <v>44621</v>
      </c>
    </row>
    <row r="7" spans="1:10" x14ac:dyDescent="0.25">
      <c r="A7" s="64">
        <v>300</v>
      </c>
      <c r="B7" s="65">
        <v>5.9956006230616641</v>
      </c>
      <c r="C7" s="68">
        <v>1.1090087890625</v>
      </c>
      <c r="D7" s="66">
        <v>-1.8515445637378392</v>
      </c>
      <c r="E7" s="78">
        <v>6.0017724382741235</v>
      </c>
      <c r="H7" s="5"/>
      <c r="I7" s="72" t="s">
        <v>26</v>
      </c>
      <c r="J7" s="28">
        <v>44805</v>
      </c>
    </row>
    <row r="8" spans="1:10" x14ac:dyDescent="0.25">
      <c r="A8" s="64">
        <v>400</v>
      </c>
      <c r="B8" s="65">
        <v>6.003013185960266</v>
      </c>
      <c r="C8" s="68">
        <v>1.72003173828125</v>
      </c>
      <c r="D8" s="66">
        <v>0.49629907445698507</v>
      </c>
      <c r="E8" s="78">
        <v>6.0017724382741235</v>
      </c>
      <c r="H8" s="8"/>
      <c r="I8" s="73" t="s">
        <v>28</v>
      </c>
      <c r="J8" s="7" t="s">
        <v>50</v>
      </c>
    </row>
    <row r="9" spans="1:10" x14ac:dyDescent="0.25">
      <c r="A9" s="64">
        <v>500</v>
      </c>
      <c r="B9" s="65">
        <v>6.0035524451507296</v>
      </c>
      <c r="C9" s="68">
        <v>2.6800537109375</v>
      </c>
      <c r="D9" s="66">
        <v>0.89000343830303308</v>
      </c>
      <c r="E9" s="78">
        <v>6.0017724382741235</v>
      </c>
      <c r="H9" s="15" t="s">
        <v>30</v>
      </c>
      <c r="I9" s="73" t="s">
        <v>31</v>
      </c>
      <c r="J9" s="29" t="s">
        <v>51</v>
      </c>
    </row>
    <row r="10" spans="1:10" x14ac:dyDescent="0.25">
      <c r="A10" s="64">
        <v>600</v>
      </c>
      <c r="B10" s="65">
        <v>6.0013775120649262</v>
      </c>
      <c r="C10" s="68">
        <v>3.8399658203125</v>
      </c>
      <c r="D10" s="66">
        <v>-0.23695572551840627</v>
      </c>
      <c r="E10" s="78">
        <v>6.0017724382741235</v>
      </c>
      <c r="H10" s="11"/>
      <c r="I10" s="74" t="s">
        <v>32</v>
      </c>
      <c r="J10" s="7">
        <v>99</v>
      </c>
    </row>
    <row r="11" spans="1:10" x14ac:dyDescent="0.25">
      <c r="A11" s="64">
        <v>700</v>
      </c>
      <c r="B11" s="65">
        <v>5.9997826194709871</v>
      </c>
      <c r="C11" s="68">
        <v>5.3399658203125</v>
      </c>
      <c r="D11" s="66">
        <v>-1.392873162195496</v>
      </c>
      <c r="E11" s="78">
        <v>6.0017724382741235</v>
      </c>
    </row>
    <row r="12" spans="1:10" x14ac:dyDescent="0.25">
      <c r="A12" s="64">
        <v>800</v>
      </c>
      <c r="B12" s="65">
        <v>6.0021301395729996</v>
      </c>
      <c r="C12" s="68">
        <v>6.989990234375</v>
      </c>
      <c r="D12" s="66">
        <v>0.28616103910081847</v>
      </c>
      <c r="E12" s="78">
        <v>6.0017724382741235</v>
      </c>
      <c r="I12" s="40" t="s">
        <v>95</v>
      </c>
      <c r="J12">
        <v>6.0017724382741235</v>
      </c>
    </row>
    <row r="13" spans="1:10" x14ac:dyDescent="0.25">
      <c r="A13" s="64">
        <v>900</v>
      </c>
      <c r="B13" s="65">
        <v>6.0028084711707121</v>
      </c>
      <c r="C13" s="68">
        <v>9.1300048828125</v>
      </c>
      <c r="D13" s="66">
        <v>0.93242960692974108</v>
      </c>
      <c r="E13" s="78">
        <v>6.0017724382741235</v>
      </c>
    </row>
    <row r="14" spans="1:10" x14ac:dyDescent="0.25">
      <c r="A14" s="64">
        <v>1000</v>
      </c>
      <c r="B14" s="65">
        <v>6.0024828505411021</v>
      </c>
      <c r="C14" s="68">
        <v>11.0599365234375</v>
      </c>
      <c r="D14" s="66">
        <v>0.71041226697854398</v>
      </c>
      <c r="E14" s="78">
        <v>6.0017724382741235</v>
      </c>
    </row>
    <row r="15" spans="1:10" x14ac:dyDescent="0.25">
      <c r="A15" s="64">
        <v>1100</v>
      </c>
      <c r="B15" s="65">
        <v>6.0015409337227759</v>
      </c>
      <c r="C15" s="68">
        <v>13.4599609375</v>
      </c>
      <c r="D15" s="66">
        <v>-0.25465500648245154</v>
      </c>
      <c r="E15" s="78">
        <v>6.0017724382741235</v>
      </c>
    </row>
    <row r="16" spans="1:10" x14ac:dyDescent="0.25">
      <c r="A16" s="64">
        <v>1200</v>
      </c>
      <c r="B16" s="65">
        <v>6.0002183827223963</v>
      </c>
      <c r="C16" s="68">
        <v>16.050048828125</v>
      </c>
      <c r="D16" s="66">
        <v>-1.8648666620727283</v>
      </c>
      <c r="E16" s="78">
        <v>6.0017724382741235</v>
      </c>
    </row>
    <row r="17" spans="1:5" x14ac:dyDescent="0.25">
      <c r="A17" s="64">
        <v>1300</v>
      </c>
      <c r="B17" s="65">
        <v>6.0014720893668567</v>
      </c>
      <c r="C17" s="68">
        <v>18.2030029296875</v>
      </c>
      <c r="D17" s="66">
        <v>-0.39045357944686998</v>
      </c>
      <c r="E17" s="78">
        <v>6.0017724382741235</v>
      </c>
    </row>
    <row r="18" spans="1:5" x14ac:dyDescent="0.25">
      <c r="A18" s="64">
        <v>1400</v>
      </c>
      <c r="B18" s="65">
        <v>6.0021730911779283</v>
      </c>
      <c r="C18" s="68">
        <v>22.333984375</v>
      </c>
      <c r="D18" s="66">
        <v>0.56091406532665644</v>
      </c>
      <c r="E18" s="78">
        <v>6.0017724382741235</v>
      </c>
    </row>
    <row r="19" spans="1:5" x14ac:dyDescent="0.25">
      <c r="A19" s="64">
        <v>1500</v>
      </c>
      <c r="B19" s="65">
        <v>6.0023995970202062</v>
      </c>
      <c r="C19" s="68">
        <v>24.6640625</v>
      </c>
      <c r="D19" s="66">
        <v>0.94073811912398497</v>
      </c>
      <c r="E19" s="78">
        <v>6.0017724382741235</v>
      </c>
    </row>
    <row r="20" spans="1:5" x14ac:dyDescent="0.25">
      <c r="A20" s="64">
        <v>1600</v>
      </c>
      <c r="B20" s="65">
        <v>6.0022749632453891</v>
      </c>
      <c r="C20" s="68">
        <v>28.247802734375</v>
      </c>
      <c r="D20" s="66">
        <v>0.80403995402491546</v>
      </c>
      <c r="E20" s="78">
        <v>6.0017724382741235</v>
      </c>
    </row>
    <row r="21" spans="1:5" x14ac:dyDescent="0.25">
      <c r="A21" s="64">
        <v>1700</v>
      </c>
      <c r="B21" s="65">
        <v>6.0018886758115331</v>
      </c>
      <c r="C21" s="68">
        <v>31.632080078125</v>
      </c>
      <c r="D21" s="66">
        <v>0.19760381359619217</v>
      </c>
      <c r="E21" s="78">
        <v>6.0017724382741235</v>
      </c>
    </row>
    <row r="22" spans="1:5" x14ac:dyDescent="0.25">
      <c r="A22" s="64">
        <v>2000</v>
      </c>
      <c r="B22" s="65">
        <v>6.0015856520059012</v>
      </c>
      <c r="C22" s="68">
        <v>44.22998046875</v>
      </c>
      <c r="D22" s="66">
        <v>-0.37357253644465516</v>
      </c>
      <c r="E22" s="78">
        <v>6.0017724382741235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DED72-3BA8-461F-9852-8150DD86C55F}">
  <sheetPr codeName="Feuil2"/>
  <dimension ref="A1:G3"/>
  <sheetViews>
    <sheetView workbookViewId="0">
      <selection activeCell="G4" sqref="G4"/>
    </sheetView>
  </sheetViews>
  <sheetFormatPr baseColWidth="10" defaultRowHeight="15.75" x14ac:dyDescent="0.25"/>
  <sheetData>
    <row r="1" spans="1:7" x14ac:dyDescent="0.25">
      <c r="A1" t="s">
        <v>50</v>
      </c>
      <c r="B1" t="s">
        <v>44</v>
      </c>
    </row>
    <row r="2" spans="1:7" x14ac:dyDescent="0.25">
      <c r="A2" t="s">
        <v>51</v>
      </c>
      <c r="B2" t="s">
        <v>45</v>
      </c>
    </row>
    <row r="3" spans="1:7" x14ac:dyDescent="0.25">
      <c r="A3" t="s">
        <v>57</v>
      </c>
      <c r="B3" t="s">
        <v>58</v>
      </c>
      <c r="C3" t="s">
        <v>59</v>
      </c>
      <c r="D3" t="s">
        <v>60</v>
      </c>
      <c r="E3" t="s">
        <v>61</v>
      </c>
      <c r="F3" t="s">
        <v>63</v>
      </c>
      <c r="G3" t="s">
        <v>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C72E4-5EC7-4A37-82BA-5156E4038985}">
  <sheetPr codeName="Feuil1"/>
  <dimension ref="A2:I12"/>
  <sheetViews>
    <sheetView zoomScale="85" zoomScaleNormal="85" workbookViewId="0">
      <selection activeCell="F7" sqref="F7"/>
    </sheetView>
  </sheetViews>
  <sheetFormatPr baseColWidth="10" defaultRowHeight="15.75" x14ac:dyDescent="0.25"/>
  <sheetData>
    <row r="2" spans="1:9" x14ac:dyDescent="0.25">
      <c r="F2">
        <v>185.64624361390975</v>
      </c>
    </row>
    <row r="3" spans="1:9" x14ac:dyDescent="0.25">
      <c r="E3">
        <v>166.67978406735031</v>
      </c>
      <c r="F3">
        <v>163.78151332861265</v>
      </c>
    </row>
    <row r="4" spans="1:9" x14ac:dyDescent="0.25">
      <c r="D4">
        <v>146.69394796410822</v>
      </c>
      <c r="E4">
        <v>147.04885347753734</v>
      </c>
      <c r="F4">
        <v>144.49193038345257</v>
      </c>
    </row>
    <row r="5" spans="1:9" x14ac:dyDescent="0.25">
      <c r="C5">
        <v>129.10452512106241</v>
      </c>
      <c r="D5">
        <v>129.41687548322818</v>
      </c>
      <c r="E5">
        <v>129.72998153345873</v>
      </c>
      <c r="F5">
        <v>127.47420341663877</v>
      </c>
    </row>
    <row r="6" spans="1:9" x14ac:dyDescent="0.25">
      <c r="B6">
        <v>113.62417221747423</v>
      </c>
      <c r="C6">
        <v>113.89907002845051</v>
      </c>
      <c r="D6">
        <v>114.17463291627625</v>
      </c>
      <c r="E6">
        <v>114.45086249001196</v>
      </c>
      <c r="F6">
        <v>112.46076160504765</v>
      </c>
    </row>
    <row r="7" spans="1:9" x14ac:dyDescent="0.25">
      <c r="A7">
        <v>100</v>
      </c>
      <c r="B7">
        <v>100.24193602964178</v>
      </c>
      <c r="C7">
        <v>100.48445738970794</v>
      </c>
      <c r="D7">
        <v>100.72756549632368</v>
      </c>
      <c r="E7">
        <v>100.9712617690403</v>
      </c>
      <c r="F7">
        <v>99.215547630843517</v>
      </c>
      <c r="I7" t="s">
        <v>64</v>
      </c>
    </row>
    <row r="8" spans="1:9" x14ac:dyDescent="0.25">
      <c r="B8">
        <v>88.435810293414377</v>
      </c>
      <c r="C8">
        <v>88.649768381619793</v>
      </c>
      <c r="D8">
        <v>88.864244111528905</v>
      </c>
      <c r="E8">
        <v>89.079238735503509</v>
      </c>
      <c r="F8">
        <v>87.530306136983839</v>
      </c>
    </row>
    <row r="9" spans="1:9" x14ac:dyDescent="0.25">
      <c r="C9">
        <v>78.208925422527756</v>
      </c>
      <c r="D9">
        <v>78.398140991520506</v>
      </c>
      <c r="E9">
        <v>78.587814341148345</v>
      </c>
      <c r="F9">
        <v>77.22130931475435</v>
      </c>
    </row>
    <row r="10" spans="1:9" x14ac:dyDescent="0.25">
      <c r="D10">
        <v>69.164696919184564</v>
      </c>
      <c r="E10">
        <v>69.332031240824591</v>
      </c>
      <c r="F10">
        <v>68.126468139534921</v>
      </c>
    </row>
    <row r="11" spans="1:9" x14ac:dyDescent="0.25">
      <c r="E11">
        <v>61.166360157465057</v>
      </c>
      <c r="F11">
        <v>60.102783834568953</v>
      </c>
    </row>
    <row r="12" spans="1:9" x14ac:dyDescent="0.25">
      <c r="F12">
        <v>53.024099491936219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70B41-EAFD-4810-9AC2-FA25ECDE8C35}">
  <sheetPr codeName="Feuil3"/>
  <dimension ref="A3:I35"/>
  <sheetViews>
    <sheetView zoomScale="55" zoomScaleNormal="55" workbookViewId="0">
      <selection activeCell="F15" sqref="F15"/>
    </sheetView>
  </sheetViews>
  <sheetFormatPr baseColWidth="10" defaultRowHeight="15.75" x14ac:dyDescent="0.25"/>
  <sheetData>
    <row r="3" spans="1:9" x14ac:dyDescent="0.25">
      <c r="E3">
        <v>0.18636234904113855</v>
      </c>
    </row>
    <row r="4" spans="1:9" x14ac:dyDescent="0.25">
      <c r="D4">
        <v>0.1504521474012416</v>
      </c>
      <c r="E4">
        <v>0.17994554498377946</v>
      </c>
    </row>
    <row r="5" spans="1:9" x14ac:dyDescent="0.25">
      <c r="C5">
        <v>0.15045214740124083</v>
      </c>
      <c r="D5">
        <v>0.1504521474012416</v>
      </c>
      <c r="E5">
        <v>0.17286369155666401</v>
      </c>
    </row>
    <row r="6" spans="1:9" x14ac:dyDescent="0.25">
      <c r="B6">
        <v>0.15045214740124743</v>
      </c>
      <c r="C6">
        <v>0.15045214740124083</v>
      </c>
      <c r="D6">
        <v>0.15045214740124083</v>
      </c>
      <c r="E6">
        <v>0.16508257390306483</v>
      </c>
    </row>
    <row r="7" spans="1:9" x14ac:dyDescent="0.25">
      <c r="A7">
        <v>0.15045214740124083</v>
      </c>
      <c r="B7">
        <v>0.15045214740124083</v>
      </c>
      <c r="C7">
        <v>0.15045214740124083</v>
      </c>
      <c r="D7">
        <v>0.15045214740124083</v>
      </c>
      <c r="E7">
        <v>0.1565789518416113</v>
      </c>
      <c r="I7" t="s">
        <v>46</v>
      </c>
    </row>
    <row r="8" spans="1:9" x14ac:dyDescent="0.25">
      <c r="B8">
        <v>0.15045214740124743</v>
      </c>
      <c r="C8">
        <v>0.1504521474012416</v>
      </c>
      <c r="D8">
        <v>0.15045214740124083</v>
      </c>
      <c r="E8">
        <v>0.1473464517603921</v>
      </c>
    </row>
    <row r="9" spans="1:9" x14ac:dyDescent="0.25">
      <c r="C9">
        <v>0.1504521474012416</v>
      </c>
      <c r="D9">
        <v>0.1504521474012416</v>
      </c>
      <c r="E9">
        <v>0.13740350591471956</v>
      </c>
    </row>
    <row r="10" spans="1:9" x14ac:dyDescent="0.25">
      <c r="D10">
        <v>0.1504521474012416</v>
      </c>
      <c r="E10">
        <v>0.12680397156952669</v>
      </c>
    </row>
    <row r="11" spans="1:9" x14ac:dyDescent="0.25">
      <c r="E11">
        <v>0.11565124913997289</v>
      </c>
    </row>
    <row r="15" spans="1:9" x14ac:dyDescent="0.25">
      <c r="E15">
        <v>0.1437684430232338</v>
      </c>
    </row>
    <row r="16" spans="1:9" x14ac:dyDescent="0.25">
      <c r="D16">
        <v>0.1705374156156787</v>
      </c>
      <c r="E16">
        <v>0.15033660304596982</v>
      </c>
    </row>
    <row r="17" spans="1:9" x14ac:dyDescent="0.25">
      <c r="C17">
        <v>0.1705374156156797</v>
      </c>
      <c r="D17">
        <v>0.1705374156156787</v>
      </c>
      <c r="E17">
        <v>0.15799877548121041</v>
      </c>
    </row>
    <row r="18" spans="1:9" x14ac:dyDescent="0.25">
      <c r="B18">
        <v>0.17053741561568722</v>
      </c>
      <c r="C18">
        <v>0.1705374156156797</v>
      </c>
      <c r="D18">
        <v>0.1705374156156797</v>
      </c>
      <c r="E18">
        <v>0.16696286403110563</v>
      </c>
    </row>
    <row r="19" spans="1:9" x14ac:dyDescent="0.25">
      <c r="A19">
        <v>0.1705374156156797</v>
      </c>
      <c r="B19">
        <v>0.1705374156156797</v>
      </c>
      <c r="C19">
        <v>0.1705374156156797</v>
      </c>
      <c r="D19">
        <v>0.1705374156156797</v>
      </c>
      <c r="E19">
        <v>0.17748214464275666</v>
      </c>
      <c r="I19" t="s">
        <v>47</v>
      </c>
    </row>
    <row r="20" spans="1:9" x14ac:dyDescent="0.25">
      <c r="B20">
        <v>0.17053741561568722</v>
      </c>
      <c r="C20">
        <v>0.1705374156156787</v>
      </c>
      <c r="D20">
        <v>0.1705374156156797</v>
      </c>
      <c r="E20">
        <v>0.18986634042911316</v>
      </c>
    </row>
    <row r="21" spans="1:9" x14ac:dyDescent="0.25">
      <c r="C21">
        <v>0.1705374156156787</v>
      </c>
      <c r="D21">
        <v>0.1705374156156787</v>
      </c>
      <c r="E21">
        <v>0.20449560424566138</v>
      </c>
    </row>
    <row r="22" spans="1:9" x14ac:dyDescent="0.25">
      <c r="D22">
        <v>0.1705374156156787</v>
      </c>
      <c r="E22">
        <v>0.22183820414850136</v>
      </c>
    </row>
    <row r="23" spans="1:9" x14ac:dyDescent="0.25">
      <c r="E23">
        <v>0.24247292905820916</v>
      </c>
    </row>
    <row r="27" spans="1:9" x14ac:dyDescent="0.25">
      <c r="E27">
        <v>0.66986920793562765</v>
      </c>
    </row>
    <row r="28" spans="1:9" x14ac:dyDescent="0.25">
      <c r="D28">
        <v>0.67901043698307972</v>
      </c>
      <c r="E28">
        <v>0.66971785197025069</v>
      </c>
    </row>
    <row r="29" spans="1:9" x14ac:dyDescent="0.25">
      <c r="C29">
        <v>0.6790104369830795</v>
      </c>
      <c r="D29">
        <v>0.67901043698307972</v>
      </c>
      <c r="E29">
        <v>0.66913753296212553</v>
      </c>
    </row>
    <row r="30" spans="1:9" x14ac:dyDescent="0.25">
      <c r="B30">
        <v>0.67901043698306529</v>
      </c>
      <c r="C30">
        <v>0.6790104369830795</v>
      </c>
      <c r="D30">
        <v>0.6790104369830795</v>
      </c>
      <c r="E30">
        <v>0.66795456206582959</v>
      </c>
    </row>
    <row r="31" spans="1:9" x14ac:dyDescent="0.25">
      <c r="A31">
        <v>0.6790104369830795</v>
      </c>
      <c r="B31">
        <v>0.6790104369830795</v>
      </c>
      <c r="C31">
        <v>0.6790104369830795</v>
      </c>
      <c r="D31">
        <v>0.6790104369830795</v>
      </c>
      <c r="E31">
        <v>0.66593890351563201</v>
      </c>
      <c r="I31" t="s">
        <v>48</v>
      </c>
    </row>
    <row r="32" spans="1:9" x14ac:dyDescent="0.25">
      <c r="B32">
        <v>0.67901043698306529</v>
      </c>
      <c r="C32">
        <v>0.67901043698307972</v>
      </c>
      <c r="D32">
        <v>0.6790104369830795</v>
      </c>
      <c r="E32">
        <v>0.66278720781049483</v>
      </c>
    </row>
    <row r="33" spans="3:5" x14ac:dyDescent="0.25">
      <c r="C33">
        <v>0.67901043698307972</v>
      </c>
      <c r="D33">
        <v>0.67901043698307972</v>
      </c>
      <c r="E33">
        <v>0.65810088983961901</v>
      </c>
    </row>
    <row r="34" spans="3:5" x14ac:dyDescent="0.25">
      <c r="D34">
        <v>0.67901043698307972</v>
      </c>
      <c r="E34">
        <v>0.65135782428197198</v>
      </c>
    </row>
    <row r="35" spans="3:5" x14ac:dyDescent="0.25">
      <c r="E35">
        <v>0.6418758218018179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33F7-A972-4445-A092-9D7293290433}">
  <sheetPr codeName="Feuil4"/>
  <dimension ref="A2:I12"/>
  <sheetViews>
    <sheetView zoomScale="85" zoomScaleNormal="85" workbookViewId="0">
      <selection activeCell="F13" sqref="F13"/>
    </sheetView>
  </sheetViews>
  <sheetFormatPr baseColWidth="10" defaultRowHeight="15.75" x14ac:dyDescent="0.25"/>
  <sheetData>
    <row r="2" spans="1:9" x14ac:dyDescent="0.25">
      <c r="F2">
        <v>0</v>
      </c>
    </row>
    <row r="3" spans="1:9" x14ac:dyDescent="0.25">
      <c r="E3">
        <v>0</v>
      </c>
      <c r="F3">
        <v>0</v>
      </c>
    </row>
    <row r="4" spans="1:9" x14ac:dyDescent="0.25">
      <c r="D4">
        <v>0</v>
      </c>
      <c r="E4">
        <v>0</v>
      </c>
      <c r="F4">
        <v>0</v>
      </c>
    </row>
    <row r="5" spans="1:9" x14ac:dyDescent="0.25">
      <c r="C5">
        <v>0</v>
      </c>
      <c r="D5">
        <v>0</v>
      </c>
      <c r="E5">
        <v>0</v>
      </c>
      <c r="F5">
        <v>0</v>
      </c>
    </row>
    <row r="6" spans="1:9" x14ac:dyDescent="0.25">
      <c r="B6">
        <v>5.1864026495393539E-2</v>
      </c>
      <c r="C6">
        <v>1.5232781124280882E-2</v>
      </c>
      <c r="D6">
        <v>0</v>
      </c>
      <c r="E6">
        <v>0</v>
      </c>
      <c r="F6">
        <v>0</v>
      </c>
    </row>
    <row r="7" spans="1:9" x14ac:dyDescent="0.25">
      <c r="A7">
        <v>0.66445975082383135</v>
      </c>
      <c r="B7">
        <v>0.44126608969578934</v>
      </c>
      <c r="C7">
        <v>0.2442061570118727</v>
      </c>
      <c r="D7">
        <v>8.9538325973863617E-2</v>
      </c>
      <c r="E7">
        <v>0</v>
      </c>
      <c r="F7">
        <v>0</v>
      </c>
      <c r="I7" t="s">
        <v>49</v>
      </c>
    </row>
    <row r="8" spans="1:9" x14ac:dyDescent="0.25">
      <c r="B8">
        <v>2.102998820050773</v>
      </c>
      <c r="C8">
        <v>1.6079951507750574</v>
      </c>
      <c r="D8">
        <v>1.0789393118323063</v>
      </c>
      <c r="E8">
        <v>0.52630650652641986</v>
      </c>
      <c r="F8">
        <v>0</v>
      </c>
    </row>
    <row r="9" spans="1:9" x14ac:dyDescent="0.25">
      <c r="C9">
        <v>5.7436070415262694</v>
      </c>
      <c r="D9">
        <v>5.0769104260843365</v>
      </c>
      <c r="E9">
        <v>4.2464701436197432</v>
      </c>
      <c r="F9">
        <v>2.7786906852456497</v>
      </c>
    </row>
    <row r="10" spans="1:9" x14ac:dyDescent="0.25">
      <c r="D10">
        <v>12.594884150707307</v>
      </c>
      <c r="E10">
        <v>12.47006002739713</v>
      </c>
      <c r="F10">
        <v>11.873531860465079</v>
      </c>
    </row>
    <row r="11" spans="1:9" x14ac:dyDescent="0.25">
      <c r="E11">
        <v>20.635731110756662</v>
      </c>
      <c r="F11">
        <v>19.897216165431047</v>
      </c>
    </row>
    <row r="12" spans="1:9" x14ac:dyDescent="0.25">
      <c r="F12">
        <v>26.975900508063781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FFF79-0006-47FE-9B70-004667CAA0EC}">
  <sheetPr codeName="Feuil5"/>
  <dimension ref="A2:I12"/>
  <sheetViews>
    <sheetView zoomScale="85" zoomScaleNormal="85" workbookViewId="0">
      <selection activeCell="E29" sqref="E29"/>
    </sheetView>
  </sheetViews>
  <sheetFormatPr baseColWidth="10" defaultRowHeight="15.75" x14ac:dyDescent="0.25"/>
  <sheetData>
    <row r="2" spans="1:9" x14ac:dyDescent="0.25">
      <c r="F2">
        <v>174.78306003095358</v>
      </c>
    </row>
    <row r="3" spans="1:9" x14ac:dyDescent="0.25">
      <c r="E3">
        <v>140.89411863616849</v>
      </c>
      <c r="F3">
        <v>136.03691219695176</v>
      </c>
    </row>
    <row r="4" spans="1:9" x14ac:dyDescent="0.25">
      <c r="D4">
        <v>109.13182051833654</v>
      </c>
      <c r="E4">
        <v>109.6605176873604</v>
      </c>
      <c r="F4">
        <v>105.88006341577837</v>
      </c>
    </row>
    <row r="5" spans="1:9" x14ac:dyDescent="0.25">
      <c r="C5">
        <v>84.529818312721972</v>
      </c>
      <c r="D5">
        <v>84.939329264044645</v>
      </c>
      <c r="E5">
        <v>85.350824121432638</v>
      </c>
      <c r="F5">
        <v>82.408426124071113</v>
      </c>
    </row>
    <row r="6" spans="1:9" x14ac:dyDescent="0.25">
      <c r="B6">
        <v>65.47393922363112</v>
      </c>
      <c r="C6">
        <v>65.791132560532873</v>
      </c>
      <c r="D6">
        <v>66.109862563994923</v>
      </c>
      <c r="E6">
        <v>66.430136678511957</v>
      </c>
      <c r="F6">
        <v>64.140013494121717</v>
      </c>
    </row>
    <row r="7" spans="1:9" x14ac:dyDescent="0.25">
      <c r="A7">
        <v>50.713899580387015</v>
      </c>
      <c r="B7">
        <v>50.959586814513266</v>
      </c>
      <c r="C7">
        <v>51.206464298600807</v>
      </c>
      <c r="D7">
        <v>51.45453779890353</v>
      </c>
      <c r="E7">
        <v>51.70381310961038</v>
      </c>
      <c r="F7">
        <v>49.921367565403031</v>
      </c>
      <c r="I7" t="s">
        <v>60</v>
      </c>
    </row>
    <row r="8" spans="1:9" x14ac:dyDescent="0.25">
      <c r="B8">
        <v>39.662795901680497</v>
      </c>
      <c r="C8">
        <v>39.854945247390965</v>
      </c>
      <c r="D8">
        <v>40.048025474805996</v>
      </c>
      <c r="E8">
        <v>40.242041093650812</v>
      </c>
      <c r="F8">
        <v>38.854730515896655</v>
      </c>
    </row>
    <row r="9" spans="1:9" x14ac:dyDescent="0.25">
      <c r="C9">
        <v>31.019846467234689</v>
      </c>
      <c r="D9">
        <v>31.170124405721257</v>
      </c>
      <c r="E9">
        <v>31.321130376785931</v>
      </c>
      <c r="F9">
        <v>30.241360705615154</v>
      </c>
    </row>
    <row r="10" spans="1:9" x14ac:dyDescent="0.25">
      <c r="D10">
        <v>24.260288589742188</v>
      </c>
      <c r="E10">
        <v>24.377819350579653</v>
      </c>
      <c r="F10">
        <v>23.537414497134616</v>
      </c>
    </row>
    <row r="11" spans="1:9" x14ac:dyDescent="0.25">
      <c r="E11">
        <v>18.973711010441466</v>
      </c>
      <c r="F11">
        <v>18.319608254500775</v>
      </c>
    </row>
    <row r="12" spans="1:9" x14ac:dyDescent="0.25">
      <c r="F12">
        <v>14.258492437188837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4D0C-AA2C-4C63-B1E4-0B32980C2E1A}">
  <sheetPr codeName="Feuil6"/>
  <dimension ref="A2:I12"/>
  <sheetViews>
    <sheetView workbookViewId="0"/>
  </sheetViews>
  <sheetFormatPr baseColWidth="10" defaultRowHeight="15.75" x14ac:dyDescent="0.25"/>
  <sheetData>
    <row r="2" spans="1:9" x14ac:dyDescent="0.25">
      <c r="F2">
        <v>186.09538876488833</v>
      </c>
    </row>
    <row r="3" spans="1:9" x14ac:dyDescent="0.25">
      <c r="E3">
        <v>165.08304251913833</v>
      </c>
      <c r="F3">
        <v>164.17775981924711</v>
      </c>
    </row>
    <row r="4" spans="1:9" x14ac:dyDescent="0.25">
      <c r="D4">
        <v>147.04885347753736</v>
      </c>
      <c r="E4">
        <v>145.40461763527463</v>
      </c>
      <c r="F4">
        <v>144.84150842297507</v>
      </c>
    </row>
    <row r="5" spans="1:9" x14ac:dyDescent="0.25">
      <c r="C5">
        <v>129.41687548322818</v>
      </c>
      <c r="D5">
        <v>129.72998153345875</v>
      </c>
      <c r="E5">
        <v>128.04384510003578</v>
      </c>
      <c r="F5">
        <v>127.78260944320247</v>
      </c>
    </row>
    <row r="6" spans="1:9" x14ac:dyDescent="0.25">
      <c r="B6">
        <v>113.89907002845051</v>
      </c>
      <c r="C6">
        <v>114.17463291627625</v>
      </c>
      <c r="D6">
        <v>114.45086249001196</v>
      </c>
      <c r="E6">
        <v>112.72776036261106</v>
      </c>
      <c r="F6">
        <v>112.73284470657981</v>
      </c>
    </row>
    <row r="7" spans="1:9" x14ac:dyDescent="0.25">
      <c r="A7">
        <v>100.24193602964178</v>
      </c>
      <c r="B7">
        <v>100.48445738970794</v>
      </c>
      <c r="C7">
        <v>100.72756549632368</v>
      </c>
      <c r="D7">
        <v>100.9712617690403</v>
      </c>
      <c r="E7">
        <v>99.215547630843517</v>
      </c>
      <c r="F7">
        <v>99.455585787568921</v>
      </c>
      <c r="I7" t="s">
        <v>52</v>
      </c>
    </row>
    <row r="8" spans="1:9" x14ac:dyDescent="0.25">
      <c r="B8">
        <v>88.649768381619793</v>
      </c>
      <c r="C8">
        <v>88.864244111528919</v>
      </c>
      <c r="D8">
        <v>89.079238735503509</v>
      </c>
      <c r="E8">
        <v>87.294753508935301</v>
      </c>
      <c r="F8">
        <v>87.742073484384946</v>
      </c>
    </row>
    <row r="9" spans="1:9" x14ac:dyDescent="0.25">
      <c r="C9">
        <v>78.398140991520521</v>
      </c>
      <c r="D9">
        <v>78.587814341148359</v>
      </c>
      <c r="E9">
        <v>76.777946578947564</v>
      </c>
      <c r="F9">
        <v>77.408135484547856</v>
      </c>
    </row>
    <row r="10" spans="1:9" x14ac:dyDescent="0.25">
      <c r="D10">
        <v>69.332031240824605</v>
      </c>
      <c r="E10">
        <v>67.499770404478639</v>
      </c>
      <c r="F10">
        <v>68.291290611686875</v>
      </c>
    </row>
    <row r="11" spans="1:9" x14ac:dyDescent="0.25">
      <c r="E11">
        <v>59.314343620706417</v>
      </c>
      <c r="F11">
        <v>60.248194123482492</v>
      </c>
    </row>
    <row r="12" spans="1:9" x14ac:dyDescent="0.25">
      <c r="F12">
        <v>53.152383893000312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15</vt:i4>
      </vt:variant>
    </vt:vector>
  </HeadingPairs>
  <TitlesOfParts>
    <vt:vector size="26" baseType="lpstr">
      <vt:lpstr>Pricer</vt:lpstr>
      <vt:lpstr>Gap as function strike</vt:lpstr>
      <vt:lpstr>Greeks comparison</vt:lpstr>
      <vt:lpstr>Result Tree-BS</vt:lpstr>
      <vt:lpstr>Data</vt:lpstr>
      <vt:lpstr>Arbre</vt:lpstr>
      <vt:lpstr>Proba</vt:lpstr>
      <vt:lpstr>Prix</vt:lpstr>
      <vt:lpstr>Variance</vt:lpstr>
      <vt:lpstr>Forward</vt:lpstr>
      <vt:lpstr>_xlwings.conf</vt:lpstr>
      <vt:lpstr>BS_price</vt:lpstr>
      <vt:lpstr>Divamount</vt:lpstr>
      <vt:lpstr>divDate</vt:lpstr>
      <vt:lpstr>EU_US</vt:lpstr>
      <vt:lpstr>IntRate</vt:lpstr>
      <vt:lpstr>Mat</vt:lpstr>
      <vt:lpstr>Negative_prob</vt:lpstr>
      <vt:lpstr>OptPrice</vt:lpstr>
      <vt:lpstr>OptType</vt:lpstr>
      <vt:lpstr>Pr_date</vt:lpstr>
      <vt:lpstr>St</vt:lpstr>
      <vt:lpstr>Steps</vt:lpstr>
      <vt:lpstr>Strike</vt:lpstr>
      <vt:lpstr>Time_VBA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Hicham Mouline</cp:lastModifiedBy>
  <dcterms:created xsi:type="dcterms:W3CDTF">2015-01-25T11:31:25Z</dcterms:created>
  <dcterms:modified xsi:type="dcterms:W3CDTF">2023-11-12T20:25:10Z</dcterms:modified>
</cp:coreProperties>
</file>